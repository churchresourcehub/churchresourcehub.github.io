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funitedmethodist-my.sharepoint.com/personal/srpastor_spanishfortumc_org/Documents/Spanish Fort UMC Files/Worship/Attendance/Attendence - Weekly Counts/"/>
    </mc:Choice>
  </mc:AlternateContent>
  <xr:revisionPtr revIDLastSave="1596" documentId="13_ncr:1_{A11F7596-5E87-46C6-B9FB-22CBD531BFCB}" xr6:coauthVersionLast="47" xr6:coauthVersionMax="47" xr10:uidLastSave="{AB8199D4-BCBD-4380-A63B-6FD357B8F05F}"/>
  <bookViews>
    <workbookView xWindow="2745" yWindow="3765" windowWidth="25800" windowHeight="14205" firstSheet="2" activeTab="2" xr2:uid="{D3895845-9522-4287-9CD3-E19F5C27FC84}"/>
  </bookViews>
  <sheets>
    <sheet name="2024" sheetId="1" r:id="rId1"/>
    <sheet name="2025" sheetId="2" r:id="rId2"/>
    <sheet name="2026" sheetId="3" r:id="rId3"/>
  </sheets>
  <definedNames>
    <definedName name="_xlnm.Print_Area" localSheetId="0">'2024'!$A$1:$J$59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2" l="1"/>
  <c r="K63" i="2"/>
  <c r="Q60" i="3"/>
  <c r="Q4" i="3"/>
  <c r="Q6" i="3"/>
  <c r="Q7" i="3"/>
  <c r="Q8" i="3"/>
  <c r="Q11" i="3"/>
  <c r="Q12" i="3"/>
  <c r="Q13" i="3"/>
  <c r="Q14" i="3"/>
  <c r="Q15" i="3"/>
  <c r="Q20" i="3"/>
  <c r="Q21" i="3"/>
  <c r="Q22" i="3"/>
  <c r="Q24" i="3"/>
  <c r="Q25" i="3"/>
  <c r="Q3" i="3"/>
  <c r="X60" i="3"/>
  <c r="W60" i="3"/>
  <c r="U60" i="3"/>
  <c r="T60" i="3"/>
  <c r="P60" i="3"/>
  <c r="O60" i="3"/>
  <c r="N60" i="3"/>
  <c r="M60" i="3"/>
  <c r="J60" i="3"/>
  <c r="I60" i="3"/>
  <c r="H60" i="3"/>
  <c r="F60" i="3"/>
  <c r="E60" i="3"/>
  <c r="C60" i="3"/>
  <c r="B63" i="2"/>
  <c r="R3" i="3"/>
  <c r="R60" i="3" s="1"/>
  <c r="L3" i="3"/>
  <c r="L60" i="3" s="1"/>
  <c r="K3" i="3"/>
  <c r="K60" i="3" s="1"/>
  <c r="G3" i="3"/>
  <c r="G60" i="3" s="1"/>
  <c r="D3" i="3"/>
  <c r="D60" i="3" s="1"/>
  <c r="G107" i="1"/>
  <c r="M63" i="2"/>
  <c r="N63" i="2"/>
  <c r="O63" i="2"/>
  <c r="P63" i="2"/>
  <c r="K47" i="2"/>
  <c r="L47" i="2"/>
  <c r="K48" i="2"/>
  <c r="L48" i="2"/>
  <c r="K49" i="2"/>
  <c r="L49" i="2"/>
  <c r="K50" i="2"/>
  <c r="L50" i="2"/>
  <c r="K52" i="2"/>
  <c r="L52" i="2"/>
  <c r="K53" i="2"/>
  <c r="L53" i="2"/>
  <c r="K54" i="2"/>
  <c r="L54" i="2"/>
  <c r="H63" i="2"/>
  <c r="I63" i="2"/>
  <c r="J63" i="2"/>
  <c r="L33" i="2"/>
  <c r="T36" i="2"/>
  <c r="T2" i="2"/>
  <c r="K24" i="2"/>
  <c r="K23" i="2"/>
  <c r="W63" i="2"/>
  <c r="X63" i="2"/>
  <c r="C63" i="2"/>
  <c r="E63" i="2"/>
  <c r="F63" i="2"/>
  <c r="L3" i="2"/>
  <c r="L5" i="2"/>
  <c r="L6" i="2"/>
  <c r="L7" i="2"/>
  <c r="L8" i="2"/>
  <c r="L9" i="2"/>
  <c r="L12" i="2"/>
  <c r="L13" i="2"/>
  <c r="L14" i="2"/>
  <c r="L15" i="2"/>
  <c r="L16" i="2"/>
  <c r="L17" i="2"/>
  <c r="L20" i="2"/>
  <c r="L21" i="2"/>
  <c r="L22" i="2"/>
  <c r="L26" i="2"/>
  <c r="L27" i="2"/>
  <c r="L28" i="2"/>
  <c r="L29" i="2"/>
  <c r="L30" i="2"/>
  <c r="L32" i="2"/>
  <c r="L34" i="2"/>
  <c r="L35" i="2"/>
  <c r="L36" i="2"/>
  <c r="L38" i="2"/>
  <c r="L40" i="2"/>
  <c r="L41" i="2"/>
  <c r="L42" i="2"/>
  <c r="L43" i="2"/>
  <c r="L44" i="2"/>
  <c r="L45" i="2"/>
  <c r="L46" i="2"/>
  <c r="L2" i="2"/>
  <c r="K3" i="2"/>
  <c r="K5" i="2"/>
  <c r="K6" i="2"/>
  <c r="K7" i="2"/>
  <c r="K8" i="2"/>
  <c r="K9" i="2"/>
  <c r="K12" i="2"/>
  <c r="K13" i="2"/>
  <c r="K14" i="2"/>
  <c r="K15" i="2"/>
  <c r="K16" i="2"/>
  <c r="K17" i="2"/>
  <c r="K20" i="2"/>
  <c r="K21" i="2"/>
  <c r="K22" i="2"/>
  <c r="K26" i="2"/>
  <c r="K27" i="2"/>
  <c r="K28" i="2"/>
  <c r="K29" i="2"/>
  <c r="K30" i="2"/>
  <c r="K32" i="2"/>
  <c r="K33" i="2"/>
  <c r="K34" i="2"/>
  <c r="K35" i="2"/>
  <c r="K36" i="2"/>
  <c r="K38" i="2"/>
  <c r="K40" i="2"/>
  <c r="K41" i="2"/>
  <c r="K42" i="2"/>
  <c r="K43" i="2"/>
  <c r="K44" i="2"/>
  <c r="K45" i="2"/>
  <c r="K46" i="2"/>
  <c r="K2" i="2"/>
  <c r="S2" i="2"/>
  <c r="D3" i="2"/>
  <c r="D2" i="2"/>
  <c r="D5" i="2"/>
  <c r="D6" i="2"/>
  <c r="D7" i="2"/>
  <c r="D8" i="2"/>
  <c r="D9" i="2"/>
  <c r="D12" i="2"/>
  <c r="D14" i="2"/>
  <c r="D15" i="2"/>
  <c r="D16" i="2"/>
  <c r="D17" i="2"/>
  <c r="D21" i="2"/>
  <c r="D22" i="2"/>
  <c r="D63" i="2" s="1"/>
  <c r="D23" i="2"/>
  <c r="D24" i="2"/>
  <c r="D25" i="2"/>
  <c r="D26" i="2"/>
  <c r="D27" i="2"/>
  <c r="D28" i="2"/>
  <c r="D29" i="2"/>
  <c r="D30" i="2"/>
  <c r="D32" i="2"/>
  <c r="D33" i="2"/>
  <c r="D34" i="2"/>
  <c r="D36" i="2"/>
  <c r="D38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8" i="2"/>
  <c r="G6" i="2"/>
  <c r="G7" i="2"/>
  <c r="G9" i="2"/>
  <c r="G12" i="2"/>
  <c r="G14" i="2"/>
  <c r="G15" i="2"/>
  <c r="G16" i="2"/>
  <c r="G17" i="2"/>
  <c r="G20" i="2"/>
  <c r="Q20" i="2" s="1"/>
  <c r="G21" i="2"/>
  <c r="G22" i="2"/>
  <c r="G23" i="2"/>
  <c r="G24" i="2"/>
  <c r="G26" i="2"/>
  <c r="G27" i="2"/>
  <c r="G28" i="2"/>
  <c r="G29" i="2"/>
  <c r="G30" i="2"/>
  <c r="G32" i="2"/>
  <c r="G33" i="2"/>
  <c r="G34" i="2"/>
  <c r="G35" i="2"/>
  <c r="G36" i="2"/>
  <c r="G38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8" i="2"/>
  <c r="T3" i="2"/>
  <c r="T5" i="2"/>
  <c r="T6" i="2"/>
  <c r="T7" i="2"/>
  <c r="T8" i="2"/>
  <c r="T9" i="2"/>
  <c r="T12" i="2"/>
  <c r="T13" i="2"/>
  <c r="T14" i="2"/>
  <c r="T15" i="2"/>
  <c r="T16" i="2"/>
  <c r="T17" i="2"/>
  <c r="T20" i="2"/>
  <c r="T21" i="2"/>
  <c r="T22" i="2"/>
  <c r="T23" i="2"/>
  <c r="T24" i="2"/>
  <c r="T26" i="2"/>
  <c r="T27" i="2"/>
  <c r="T28" i="2"/>
  <c r="T29" i="2"/>
  <c r="T30" i="2"/>
  <c r="T31" i="2"/>
  <c r="T32" i="2"/>
  <c r="T33" i="2"/>
  <c r="S3" i="2"/>
  <c r="S4" i="2"/>
  <c r="S5" i="2"/>
  <c r="S6" i="2"/>
  <c r="S7" i="2"/>
  <c r="S8" i="2"/>
  <c r="S9" i="2"/>
  <c r="S12" i="2"/>
  <c r="S13" i="2"/>
  <c r="S14" i="2"/>
  <c r="S15" i="2"/>
  <c r="S16" i="2"/>
  <c r="S17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6" i="2"/>
  <c r="S38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8" i="2"/>
  <c r="R3" i="2"/>
  <c r="R4" i="2"/>
  <c r="R5" i="2"/>
  <c r="R6" i="2"/>
  <c r="R7" i="2"/>
  <c r="R8" i="2"/>
  <c r="R9" i="2"/>
  <c r="R12" i="2"/>
  <c r="R13" i="2"/>
  <c r="R14" i="2"/>
  <c r="R15" i="2"/>
  <c r="R16" i="2"/>
  <c r="R17" i="2"/>
  <c r="R20" i="2"/>
  <c r="R21" i="2"/>
  <c r="R22" i="2"/>
  <c r="R23" i="2"/>
  <c r="R24" i="2"/>
  <c r="R25" i="2"/>
  <c r="R26" i="2"/>
  <c r="R27" i="2"/>
  <c r="R28" i="2"/>
  <c r="R29" i="2"/>
  <c r="R30" i="2"/>
  <c r="R32" i="2"/>
  <c r="R33" i="2"/>
  <c r="R36" i="2"/>
  <c r="Q3" i="2"/>
  <c r="Q5" i="2"/>
  <c r="Q6" i="2"/>
  <c r="Q7" i="2"/>
  <c r="Q8" i="2"/>
  <c r="Q9" i="2"/>
  <c r="Q12" i="2"/>
  <c r="Q13" i="2"/>
  <c r="Q14" i="2"/>
  <c r="Q15" i="2"/>
  <c r="Q16" i="2"/>
  <c r="Q17" i="2"/>
  <c r="Q21" i="2"/>
  <c r="Q22" i="2"/>
  <c r="Q23" i="2"/>
  <c r="Q24" i="2"/>
  <c r="Q26" i="2"/>
  <c r="Q27" i="2"/>
  <c r="Q28" i="2"/>
  <c r="Q29" i="2"/>
  <c r="Q30" i="2"/>
  <c r="Q31" i="2"/>
  <c r="Q32" i="2"/>
  <c r="Q33" i="2"/>
  <c r="Q36" i="2"/>
  <c r="Q38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8" i="2"/>
  <c r="G63" i="1"/>
  <c r="G64" i="1"/>
  <c r="G65" i="1"/>
  <c r="G62" i="1"/>
  <c r="G49" i="1"/>
  <c r="C49" i="1"/>
  <c r="B49" i="1"/>
  <c r="G47" i="1"/>
  <c r="B47" i="1"/>
  <c r="C47" i="1"/>
  <c r="G48" i="1"/>
  <c r="G46" i="1"/>
  <c r="B46" i="1"/>
  <c r="C46" i="1"/>
  <c r="B42" i="1"/>
  <c r="G41" i="1"/>
  <c r="C41" i="1"/>
  <c r="B41" i="1"/>
  <c r="G40" i="1"/>
  <c r="C40" i="1"/>
  <c r="B40" i="1"/>
  <c r="G39" i="1"/>
  <c r="C39" i="1"/>
  <c r="B39" i="1"/>
  <c r="G34" i="1"/>
  <c r="C34" i="1"/>
  <c r="B34" i="1"/>
  <c r="G33" i="1"/>
  <c r="C33" i="1"/>
  <c r="B33" i="1"/>
  <c r="G32" i="1"/>
  <c r="C32" i="1"/>
  <c r="B32" i="1"/>
  <c r="G31" i="1"/>
  <c r="B31" i="1"/>
  <c r="C31" i="1"/>
  <c r="G26" i="1"/>
  <c r="D26" i="1"/>
  <c r="C26" i="1"/>
  <c r="B25" i="1"/>
  <c r="B24" i="1"/>
  <c r="B23" i="1"/>
  <c r="G22" i="1"/>
  <c r="B22" i="1"/>
  <c r="C22" i="1"/>
  <c r="G21" i="1"/>
  <c r="C21" i="1"/>
  <c r="B21" i="1"/>
  <c r="G20" i="1"/>
  <c r="B20" i="1"/>
  <c r="C20" i="1"/>
  <c r="G16" i="1"/>
  <c r="C16" i="1"/>
  <c r="B16" i="1"/>
  <c r="G15" i="1"/>
  <c r="B15" i="1"/>
  <c r="C15" i="1"/>
  <c r="B14" i="1"/>
  <c r="G13" i="1"/>
  <c r="C13" i="1"/>
  <c r="B13" i="1"/>
  <c r="G12" i="1"/>
  <c r="C12" i="1"/>
  <c r="B12" i="1"/>
  <c r="G7" i="1"/>
  <c r="C7" i="1"/>
  <c r="B7" i="1"/>
  <c r="G6" i="1"/>
  <c r="C6" i="1"/>
  <c r="B6" i="1"/>
  <c r="G5" i="1"/>
  <c r="C5" i="1"/>
  <c r="B5" i="1"/>
  <c r="G4" i="1"/>
  <c r="G9" i="1" s="1"/>
  <c r="C4" i="1"/>
  <c r="B4" i="1"/>
  <c r="G51" i="1"/>
  <c r="G43" i="1"/>
  <c r="G59" i="1"/>
  <c r="G104" i="1"/>
  <c r="G85" i="1"/>
  <c r="G92" i="1"/>
  <c r="G60" i="1"/>
  <c r="G77" i="1"/>
  <c r="G91" i="1"/>
  <c r="G103" i="1"/>
  <c r="G84" i="1"/>
  <c r="G76" i="1"/>
  <c r="S3" i="3" l="1"/>
  <c r="S60" i="3" s="1"/>
  <c r="Y3" i="3"/>
  <c r="Y60" i="3" s="1"/>
  <c r="G63" i="2"/>
  <c r="T63" i="2"/>
  <c r="R63" i="2"/>
  <c r="S63" i="2"/>
  <c r="Y58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3" i="2"/>
  <c r="Y32" i="2"/>
  <c r="Y30" i="2"/>
  <c r="Y29" i="2"/>
  <c r="Y28" i="2"/>
  <c r="Y27" i="2"/>
  <c r="Y26" i="2"/>
  <c r="Y25" i="2"/>
  <c r="Y24" i="2"/>
  <c r="Y23" i="2"/>
  <c r="Y22" i="2"/>
  <c r="Y21" i="2"/>
  <c r="Y20" i="2"/>
  <c r="Y17" i="2"/>
  <c r="Y16" i="2"/>
  <c r="Y15" i="2"/>
  <c r="Y14" i="2"/>
  <c r="Y13" i="2"/>
  <c r="Y12" i="2"/>
  <c r="Y9" i="2"/>
  <c r="Y8" i="2"/>
  <c r="Y7" i="2"/>
  <c r="Y6" i="2"/>
  <c r="Y5" i="2"/>
  <c r="Y4" i="2"/>
  <c r="Y3" i="2"/>
  <c r="G17" i="1"/>
  <c r="G44" i="1"/>
  <c r="G67" i="1"/>
  <c r="Q2" i="2"/>
  <c r="G18" i="1"/>
  <c r="G68" i="1"/>
  <c r="G10" i="1"/>
  <c r="G52" i="1"/>
  <c r="G37" i="1"/>
  <c r="G36" i="1"/>
  <c r="Y2" i="2" l="1"/>
  <c r="Q63" i="2"/>
  <c r="Y63" i="2"/>
  <c r="G28" i="1"/>
  <c r="G29" i="1"/>
  <c r="G106" i="1" l="1"/>
</calcChain>
</file>

<file path=xl/sharedStrings.xml><?xml version="1.0" encoding="utf-8"?>
<sst xmlns="http://schemas.openxmlformats.org/spreadsheetml/2006/main" count="134" uniqueCount="81">
  <si>
    <t>WORSHIP ATTENDANCE 2024</t>
  </si>
  <si>
    <t>Date</t>
  </si>
  <si>
    <t>Traditional</t>
  </si>
  <si>
    <t>Contemporary</t>
  </si>
  <si>
    <t>Total</t>
  </si>
  <si>
    <t>Month total</t>
  </si>
  <si>
    <t>Average</t>
  </si>
  <si>
    <t>Ash Wed. 6:30 p.m. service</t>
  </si>
  <si>
    <t>Palm Sunday; one service</t>
  </si>
  <si>
    <t>Maundy Thursday 6 pm</t>
  </si>
  <si>
    <t>Good Friday 6:30 pm</t>
  </si>
  <si>
    <t>Easter - 7 am; 9 am; 11 am</t>
  </si>
  <si>
    <t>Confirmation Sunday 8:45 am</t>
  </si>
  <si>
    <t>Mother's Day &amp; Sr. Recognition @ 11 am</t>
  </si>
  <si>
    <t>One Service 10:00 a.m.</t>
  </si>
  <si>
    <t>Bill's Last Sunday to Preach @ SFUMC</t>
  </si>
  <si>
    <t>10:00 AM One Service</t>
  </si>
  <si>
    <t>Bishop</t>
  </si>
  <si>
    <t>12 Nursery</t>
  </si>
  <si>
    <t>6 children</t>
  </si>
  <si>
    <t>Monthly t.</t>
  </si>
  <si>
    <t>4pm</t>
  </si>
  <si>
    <t>6pm</t>
  </si>
  <si>
    <t>10am service only</t>
  </si>
  <si>
    <t>Year Total</t>
  </si>
  <si>
    <t>Aug-Dec Average</t>
  </si>
  <si>
    <t>Sunday School Adults</t>
  </si>
  <si>
    <t>Sunday School Children</t>
  </si>
  <si>
    <t>Traditional Worship Service</t>
  </si>
  <si>
    <t>Choir</t>
  </si>
  <si>
    <t>Traditional Plus Choir</t>
  </si>
  <si>
    <t>Traditional Nursery</t>
  </si>
  <si>
    <t>Contemporary Worship Service</t>
  </si>
  <si>
    <t>Contemporary Nursery</t>
  </si>
  <si>
    <t>In Person Traditional</t>
  </si>
  <si>
    <t>In Person Contemporary</t>
  </si>
  <si>
    <t>Childrens' Church &amp; Other</t>
  </si>
  <si>
    <t>Combined Worship Service</t>
  </si>
  <si>
    <t>"Facebook Traditional Worship Service"</t>
  </si>
  <si>
    <t>"Facebook Contemporary Worship Service"</t>
  </si>
  <si>
    <t>"Total Worship In Person"</t>
  </si>
  <si>
    <t>"Total Worship Online "</t>
  </si>
  <si>
    <t>Total Traditional</t>
  </si>
  <si>
    <t>Total Contemporary</t>
  </si>
  <si>
    <t>Remedy</t>
  </si>
  <si>
    <t>Sunday Night Children Program</t>
  </si>
  <si>
    <t>"Total Worship In Person/ Online )"</t>
  </si>
  <si>
    <t>1 service</t>
  </si>
  <si>
    <t>N/A</t>
  </si>
  <si>
    <t>Ash Wed</t>
  </si>
  <si>
    <t>Maundy</t>
  </si>
  <si>
    <t>No count</t>
  </si>
  <si>
    <t>Good Friday</t>
  </si>
  <si>
    <t>no classes/combined service</t>
  </si>
  <si>
    <t>Mission Sunday</t>
  </si>
  <si>
    <t>no class/welcome reception for Sarah</t>
  </si>
  <si>
    <t>Vision Sunday</t>
  </si>
  <si>
    <t>NA</t>
  </si>
  <si>
    <t>Fall Break/ 19</t>
  </si>
  <si>
    <t>10 (combined nursery)</t>
  </si>
  <si>
    <t>NA/Communion</t>
  </si>
  <si>
    <t>NA/Cantata</t>
  </si>
  <si>
    <t>12/24/2025  4:00:00 PM Contemporary</t>
  </si>
  <si>
    <t>Xmas Eve Contemporary</t>
  </si>
  <si>
    <t>Xmas Eve Traditional</t>
  </si>
  <si>
    <t>AVG</t>
  </si>
  <si>
    <t>na</t>
  </si>
  <si>
    <t>Combined MLK Sunday</t>
  </si>
  <si>
    <t>Combined Transfiguration/Joe Cain Sunday</t>
  </si>
  <si>
    <t>Ash Wednesday Service</t>
  </si>
  <si>
    <t>Combined Palm Sunday Service</t>
  </si>
  <si>
    <t>Maundy Thursday Service</t>
  </si>
  <si>
    <t>Good Friday Service</t>
  </si>
  <si>
    <t>Sunrise Service</t>
  </si>
  <si>
    <t>Easter</t>
  </si>
  <si>
    <t>Combined Children's Celebration Sunday</t>
  </si>
  <si>
    <t>Missions Sunday</t>
  </si>
  <si>
    <t>no sheet retrieved</t>
  </si>
  <si>
    <t>One service/Pentacost</t>
  </si>
  <si>
    <t>Combined Service/Independence Day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</si>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</sst>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3" borderId="0" xfId="0" applyFill="1"/>
    <xf numFmtId="0" fontId="3" fillId="0" borderId="0" xfId="0" applyFont="1"/>
    <xf numFmtId="1" fontId="0" fillId="0" borderId="0" xfId="0" applyNumberFormat="1" applyAlignment="1">
      <alignment horizontal="center"/>
    </xf>
    <xf numFmtId="0" fontId="0" fillId="6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2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" fontId="0" fillId="6" borderId="0" xfId="0" applyNumberFormat="1" applyFill="1"/>
    <xf numFmtId="0" fontId="0" fillId="6" borderId="0" xfId="0" applyFill="1" applyAlignment="1">
      <alignment horizontal="center"/>
    </xf>
    <xf numFmtId="16" fontId="3" fillId="0" borderId="0" xfId="0" applyNumberFormat="1" applyFont="1"/>
    <xf numFmtId="0" fontId="3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4" fillId="0" borderId="0" xfId="1" applyNumberFormat="1" applyFont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3" fillId="0" borderId="0" xfId="0" applyNumberFormat="1" applyFont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" fillId="0" borderId="1" xfId="0" applyFont="1" applyBorder="1"/>
    <xf numFmtId="0" fontId="0" fillId="8" borderId="0" xfId="0" applyFill="1"/>
    <xf numFmtId="0" fontId="0" fillId="8" borderId="1" xfId="0" applyFill="1" applyBorder="1"/>
    <xf numFmtId="0" fontId="7" fillId="0" borderId="1" xfId="0" applyFont="1" applyBorder="1"/>
    <xf numFmtId="17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2410-3020-4FF5-8D58-BCCBB5257D03}">
  <dimension ref="A1:O107"/>
  <sheetViews>
    <sheetView topLeftCell="A84" zoomScaleNormal="100" workbookViewId="0">
      <selection activeCell="A108" sqref="A108"/>
    </sheetView>
  </sheetViews>
  <sheetFormatPr defaultRowHeight="15"/>
  <cols>
    <col min="1" max="1" width="10.28515625" customWidth="1"/>
    <col min="2" max="2" width="10.7109375" customWidth="1"/>
    <col min="3" max="3" width="13.7109375" customWidth="1"/>
    <col min="7" max="7" width="12" style="9" bestFit="1" customWidth="1"/>
    <col min="9" max="9" width="13" customWidth="1"/>
    <col min="10" max="10" width="10.7109375" customWidth="1"/>
    <col min="11" max="11" width="14.85546875" customWidth="1"/>
  </cols>
  <sheetData>
    <row r="1" spans="1:9" ht="21">
      <c r="A1" s="49" t="s">
        <v>0</v>
      </c>
      <c r="B1" s="49"/>
      <c r="C1" s="49"/>
      <c r="D1" s="49"/>
      <c r="E1" s="49"/>
      <c r="F1" s="49"/>
      <c r="G1" s="49"/>
    </row>
    <row r="2" spans="1:9">
      <c r="B2" s="1"/>
      <c r="C2" s="1"/>
    </row>
    <row r="3" spans="1:9">
      <c r="A3" s="11" t="s">
        <v>1</v>
      </c>
      <c r="B3" s="12" t="s">
        <v>2</v>
      </c>
      <c r="C3" s="12" t="s">
        <v>3</v>
      </c>
      <c r="D3" s="12"/>
      <c r="E3" s="11"/>
      <c r="F3" s="11"/>
      <c r="G3" s="22" t="s">
        <v>4</v>
      </c>
    </row>
    <row r="4" spans="1:9">
      <c r="A4" s="2">
        <v>45298</v>
      </c>
      <c r="B4" s="1">
        <f>11+16+131+40+9</f>
        <v>207</v>
      </c>
      <c r="C4" s="1">
        <f>19+13+121+4</f>
        <v>157</v>
      </c>
      <c r="E4" s="1"/>
      <c r="F4" s="1"/>
      <c r="G4" s="9">
        <f>207+157</f>
        <v>364</v>
      </c>
      <c r="H4" s="8"/>
    </row>
    <row r="5" spans="1:9">
      <c r="A5" s="2">
        <v>45305</v>
      </c>
      <c r="B5" s="1">
        <f>20+16+137+1</f>
        <v>174</v>
      </c>
      <c r="C5" s="1">
        <f>20+10+88</f>
        <v>118</v>
      </c>
      <c r="D5" s="1"/>
      <c r="E5" s="1"/>
      <c r="G5" s="9">
        <f>174+118</f>
        <v>292</v>
      </c>
    </row>
    <row r="6" spans="1:9">
      <c r="A6" s="2">
        <v>45312</v>
      </c>
      <c r="B6" s="1">
        <f>16+18+97+26+9</f>
        <v>166</v>
      </c>
      <c r="C6" s="1">
        <f>8+8+84</f>
        <v>100</v>
      </c>
      <c r="G6" s="9">
        <f>166+100</f>
        <v>266</v>
      </c>
    </row>
    <row r="7" spans="1:9">
      <c r="A7" s="2">
        <v>45319</v>
      </c>
      <c r="B7" s="1">
        <f>26+5+29+127+2</f>
        <v>189</v>
      </c>
      <c r="C7" s="1">
        <f>13+13+93+3</f>
        <v>122</v>
      </c>
      <c r="G7" s="9">
        <f>189+122</f>
        <v>311</v>
      </c>
    </row>
    <row r="8" spans="1:9">
      <c r="A8" s="2"/>
      <c r="B8" s="1"/>
      <c r="C8" s="1"/>
    </row>
    <row r="9" spans="1:9">
      <c r="A9" s="3" t="s">
        <v>5</v>
      </c>
      <c r="B9" s="4"/>
      <c r="C9" s="4"/>
      <c r="D9" s="4"/>
      <c r="E9" s="4"/>
      <c r="F9" s="4"/>
      <c r="G9" s="23">
        <f>SUM(G4:G8)</f>
        <v>1233</v>
      </c>
    </row>
    <row r="10" spans="1:9">
      <c r="A10" s="7" t="s">
        <v>6</v>
      </c>
      <c r="B10" s="13"/>
      <c r="C10" s="13"/>
      <c r="D10" s="7"/>
      <c r="E10" s="7"/>
      <c r="F10" s="7"/>
      <c r="G10" s="24">
        <f>AVERAGE(G4:G8)</f>
        <v>308.25</v>
      </c>
    </row>
    <row r="11" spans="1:9">
      <c r="A11" s="2"/>
      <c r="B11" s="1"/>
      <c r="C11" s="1"/>
    </row>
    <row r="12" spans="1:9">
      <c r="A12" s="2">
        <v>45326</v>
      </c>
      <c r="B12" s="1">
        <f>18+21+124+2</f>
        <v>165</v>
      </c>
      <c r="C12" s="1">
        <f>15+8+99</f>
        <v>122</v>
      </c>
      <c r="G12" s="9">
        <f>165+122</f>
        <v>287</v>
      </c>
    </row>
    <row r="13" spans="1:9">
      <c r="A13" s="2">
        <v>45333</v>
      </c>
      <c r="B13" s="1">
        <f>11+9+137+10+9</f>
        <v>176</v>
      </c>
      <c r="C13" s="1">
        <f>12+8+64</f>
        <v>84</v>
      </c>
      <c r="G13" s="9">
        <f>176+84</f>
        <v>260</v>
      </c>
      <c r="H13" s="8"/>
      <c r="I13" s="8"/>
    </row>
    <row r="14" spans="1:9">
      <c r="A14" s="2">
        <v>45336</v>
      </c>
      <c r="B14" s="1">
        <f>50+94</f>
        <v>144</v>
      </c>
      <c r="C14" s="1"/>
      <c r="G14" s="9">
        <v>144</v>
      </c>
      <c r="H14" s="8" t="s">
        <v>7</v>
      </c>
      <c r="I14" s="8"/>
    </row>
    <row r="15" spans="1:9">
      <c r="A15" s="2">
        <v>45340</v>
      </c>
      <c r="B15" s="1">
        <f>30+13+144+2+4+7</f>
        <v>200</v>
      </c>
      <c r="C15" s="1">
        <f>11+9+80</f>
        <v>100</v>
      </c>
      <c r="G15" s="9">
        <f>200+100</f>
        <v>300</v>
      </c>
      <c r="H15" s="8"/>
    </row>
    <row r="16" spans="1:9">
      <c r="A16" s="2">
        <v>45347</v>
      </c>
      <c r="B16" s="1">
        <f>34+19+156+2</f>
        <v>211</v>
      </c>
      <c r="C16" s="1">
        <f>14+11+85</f>
        <v>110</v>
      </c>
      <c r="G16" s="9">
        <f>211+110</f>
        <v>321</v>
      </c>
      <c r="H16" s="8"/>
    </row>
    <row r="17" spans="1:15">
      <c r="A17" s="3" t="s">
        <v>5</v>
      </c>
      <c r="B17" s="4"/>
      <c r="C17" s="4"/>
      <c r="D17" s="3"/>
      <c r="E17" s="3"/>
      <c r="F17" s="3"/>
      <c r="G17" s="23">
        <f>SUM(G11:G16)</f>
        <v>1312</v>
      </c>
    </row>
    <row r="18" spans="1:15">
      <c r="A18" s="5" t="s">
        <v>6</v>
      </c>
      <c r="B18" s="6"/>
      <c r="C18" s="6"/>
      <c r="D18" s="5"/>
      <c r="E18" s="5"/>
      <c r="F18" s="5"/>
      <c r="G18" s="21">
        <f>AVERAGE(G11:G16)</f>
        <v>262.39999999999998</v>
      </c>
    </row>
    <row r="19" spans="1:15">
      <c r="A19" s="2"/>
      <c r="B19" s="1"/>
      <c r="C19" s="1"/>
    </row>
    <row r="20" spans="1:15">
      <c r="A20" s="2">
        <v>45354</v>
      </c>
      <c r="B20" s="1">
        <f>16+19+151+9</f>
        <v>195</v>
      </c>
      <c r="C20" s="1">
        <f>19+11+92</f>
        <v>122</v>
      </c>
      <c r="G20" s="9">
        <f>195+122</f>
        <v>317</v>
      </c>
      <c r="N20" s="50"/>
      <c r="O20" s="50"/>
    </row>
    <row r="21" spans="1:15">
      <c r="A21" s="2">
        <v>45361</v>
      </c>
      <c r="B21" s="1">
        <f>26+128+19+4+4</f>
        <v>181</v>
      </c>
      <c r="C21" s="1">
        <f>9+10+113</f>
        <v>132</v>
      </c>
      <c r="G21" s="9">
        <f>181+132</f>
        <v>313</v>
      </c>
    </row>
    <row r="22" spans="1:15">
      <c r="A22" s="2">
        <v>45368</v>
      </c>
      <c r="B22" s="1">
        <f>42+46+149</f>
        <v>237</v>
      </c>
      <c r="C22" s="1">
        <f>17+7+120</f>
        <v>144</v>
      </c>
      <c r="G22" s="9">
        <f>237+144</f>
        <v>381</v>
      </c>
    </row>
    <row r="23" spans="1:15">
      <c r="A23" s="2">
        <v>45375</v>
      </c>
      <c r="B23" s="1">
        <f>32+19+243+30+8</f>
        <v>332</v>
      </c>
      <c r="C23" s="1"/>
      <c r="G23" s="9">
        <v>332</v>
      </c>
      <c r="H23" s="8" t="s">
        <v>8</v>
      </c>
    </row>
    <row r="24" spans="1:15">
      <c r="A24" s="2">
        <v>45379</v>
      </c>
      <c r="B24" s="1">
        <f>2+28+86+2</f>
        <v>118</v>
      </c>
      <c r="C24" s="1"/>
      <c r="G24" s="9">
        <v>118</v>
      </c>
      <c r="H24" s="8" t="s">
        <v>9</v>
      </c>
    </row>
    <row r="25" spans="1:15">
      <c r="A25" s="2">
        <v>45380</v>
      </c>
      <c r="B25" s="1">
        <f>32+13+144</f>
        <v>189</v>
      </c>
      <c r="C25" s="1"/>
      <c r="G25" s="9">
        <v>189</v>
      </c>
      <c r="H25" s="8" t="s">
        <v>10</v>
      </c>
    </row>
    <row r="26" spans="1:15">
      <c r="A26" s="2">
        <v>45382</v>
      </c>
      <c r="B26" s="1">
        <v>81</v>
      </c>
      <c r="C26" s="1">
        <f>33+8+28+277+16+6</f>
        <v>368</v>
      </c>
      <c r="D26">
        <f>22+9+195</f>
        <v>226</v>
      </c>
      <c r="G26" s="9">
        <f>81+368+226</f>
        <v>675</v>
      </c>
      <c r="H26" s="8" t="s">
        <v>11</v>
      </c>
    </row>
    <row r="27" spans="1:15">
      <c r="A27" s="2"/>
      <c r="B27" s="1"/>
      <c r="C27" s="1"/>
      <c r="D27" s="8"/>
      <c r="E27" s="8"/>
      <c r="H27" s="8"/>
      <c r="I27" s="8"/>
    </row>
    <row r="28" spans="1:15">
      <c r="A28" s="3" t="s">
        <v>5</v>
      </c>
      <c r="B28" s="4"/>
      <c r="C28" s="4"/>
      <c r="D28" s="3"/>
      <c r="E28" s="3"/>
      <c r="F28" s="3"/>
      <c r="G28" s="23">
        <f>SUM(G20:G27)</f>
        <v>2325</v>
      </c>
    </row>
    <row r="29" spans="1:15">
      <c r="A29" s="5" t="s">
        <v>6</v>
      </c>
      <c r="B29" s="6"/>
      <c r="C29" s="6"/>
      <c r="D29" s="5"/>
      <c r="E29" s="5"/>
      <c r="F29" s="5"/>
      <c r="G29" s="21">
        <f>AVERAGE(G20:G27)</f>
        <v>332.14285714285717</v>
      </c>
    </row>
    <row r="30" spans="1:15">
      <c r="A30" s="2"/>
      <c r="B30" s="1"/>
      <c r="C30" s="1"/>
      <c r="D30" s="14"/>
      <c r="E30" s="14"/>
      <c r="H30" s="8"/>
    </row>
    <row r="31" spans="1:15">
      <c r="A31" s="2">
        <v>45389</v>
      </c>
      <c r="B31" s="1">
        <f>17+14+136+14+9</f>
        <v>190</v>
      </c>
      <c r="C31" s="1">
        <f>18+9+112</f>
        <v>139</v>
      </c>
      <c r="G31" s="9">
        <f>190+139</f>
        <v>329</v>
      </c>
      <c r="H31" s="8"/>
    </row>
    <row r="32" spans="1:15">
      <c r="A32" s="2">
        <v>45396</v>
      </c>
      <c r="B32" s="1">
        <f>20+14+159+8</f>
        <v>201</v>
      </c>
      <c r="C32" s="1">
        <f>30+108+8</f>
        <v>146</v>
      </c>
      <c r="G32" s="9">
        <f>201+146</f>
        <v>347</v>
      </c>
      <c r="H32" s="8"/>
    </row>
    <row r="33" spans="1:10">
      <c r="A33" s="2">
        <v>45403</v>
      </c>
      <c r="B33" s="1">
        <f>20+22+203+1</f>
        <v>246</v>
      </c>
      <c r="C33" s="1">
        <f>9+8+62</f>
        <v>79</v>
      </c>
      <c r="G33" s="9">
        <f>246+79</f>
        <v>325</v>
      </c>
      <c r="H33" s="8" t="s">
        <v>12</v>
      </c>
    </row>
    <row r="34" spans="1:10">
      <c r="A34" s="2">
        <v>45410</v>
      </c>
      <c r="B34" s="1">
        <f>27+20+165+2</f>
        <v>214</v>
      </c>
      <c r="C34" s="1">
        <f>13+10+89</f>
        <v>112</v>
      </c>
      <c r="G34" s="25">
        <f>214+112</f>
        <v>326</v>
      </c>
      <c r="H34" s="8"/>
    </row>
    <row r="35" spans="1:10">
      <c r="A35" s="2"/>
      <c r="B35" s="1"/>
      <c r="C35" s="1"/>
      <c r="H35" s="8"/>
    </row>
    <row r="36" spans="1:10">
      <c r="A36" s="3" t="s">
        <v>5</v>
      </c>
      <c r="B36" s="4"/>
      <c r="C36" s="4"/>
      <c r="D36" s="3"/>
      <c r="E36" s="3"/>
      <c r="F36" s="3"/>
      <c r="G36" s="23">
        <f>SUM(G30:G35)</f>
        <v>1327</v>
      </c>
    </row>
    <row r="37" spans="1:10">
      <c r="A37" s="5" t="s">
        <v>6</v>
      </c>
      <c r="B37" s="6"/>
      <c r="C37" s="6"/>
      <c r="D37" s="5"/>
      <c r="E37" s="5"/>
      <c r="F37" s="5"/>
      <c r="G37" s="21">
        <f>AVERAGE(G30:G35)</f>
        <v>331.75</v>
      </c>
    </row>
    <row r="38" spans="1:10">
      <c r="A38" s="2"/>
      <c r="B38" s="15"/>
      <c r="C38" s="1"/>
    </row>
    <row r="39" spans="1:10">
      <c r="A39" s="2">
        <v>45417</v>
      </c>
      <c r="B39" s="1">
        <f>22+21+171+2</f>
        <v>216</v>
      </c>
      <c r="C39" s="1">
        <f>5+11+69</f>
        <v>85</v>
      </c>
      <c r="G39" s="9">
        <f>216+85</f>
        <v>301</v>
      </c>
      <c r="H39" s="8"/>
    </row>
    <row r="40" spans="1:10">
      <c r="A40" s="2">
        <v>45424</v>
      </c>
      <c r="B40" s="1">
        <f>21+13+152</f>
        <v>186</v>
      </c>
      <c r="C40" s="1">
        <f>13+10+150</f>
        <v>173</v>
      </c>
      <c r="G40" s="9">
        <f>186+173</f>
        <v>359</v>
      </c>
      <c r="H40" s="8" t="s">
        <v>13</v>
      </c>
    </row>
    <row r="41" spans="1:10">
      <c r="A41" s="2">
        <v>45431</v>
      </c>
      <c r="B41" s="1">
        <f>25+19+147+2</f>
        <v>193</v>
      </c>
      <c r="C41" s="1">
        <f>5+9+75</f>
        <v>89</v>
      </c>
      <c r="G41" s="9">
        <f>193+89</f>
        <v>282</v>
      </c>
      <c r="H41" s="8"/>
    </row>
    <row r="42" spans="1:10">
      <c r="A42" s="2">
        <v>45438</v>
      </c>
      <c r="B42" s="1">
        <f>28+12+153+9</f>
        <v>202</v>
      </c>
      <c r="C42" s="1"/>
      <c r="F42" s="1"/>
      <c r="G42" s="9">
        <v>202</v>
      </c>
      <c r="H42" s="8" t="s">
        <v>14</v>
      </c>
      <c r="I42" s="8"/>
      <c r="J42" s="8"/>
    </row>
    <row r="43" spans="1:10">
      <c r="A43" s="3" t="s">
        <v>5</v>
      </c>
      <c r="B43" s="4"/>
      <c r="C43" s="4"/>
      <c r="D43" s="3"/>
      <c r="E43" s="3"/>
      <c r="F43" s="3"/>
      <c r="G43" s="26">
        <f>SUM(G38:G42)</f>
        <v>1144</v>
      </c>
    </row>
    <row r="44" spans="1:10">
      <c r="A44" s="5" t="s">
        <v>6</v>
      </c>
      <c r="B44" s="6"/>
      <c r="C44" s="6"/>
      <c r="D44" s="5"/>
      <c r="E44" s="5"/>
      <c r="F44" s="5"/>
      <c r="G44" s="24">
        <f>AVERAGE(G38:G42)</f>
        <v>286</v>
      </c>
    </row>
    <row r="45" spans="1:10">
      <c r="A45" s="2"/>
      <c r="B45" s="1"/>
      <c r="C45" s="1"/>
    </row>
    <row r="46" spans="1:10">
      <c r="A46" s="2">
        <v>45445</v>
      </c>
      <c r="B46" s="1">
        <f>24+15+149</f>
        <v>188</v>
      </c>
      <c r="C46" s="1">
        <f>9+9+105</f>
        <v>123</v>
      </c>
      <c r="G46" s="9">
        <f>188+123</f>
        <v>311</v>
      </c>
      <c r="H46" s="8"/>
    </row>
    <row r="47" spans="1:10">
      <c r="A47" s="2">
        <v>45452</v>
      </c>
      <c r="B47" s="1">
        <f>27+17+120+6+10+4</f>
        <v>184</v>
      </c>
      <c r="C47" s="1">
        <f>9+10+142</f>
        <v>161</v>
      </c>
      <c r="G47" s="9">
        <f>184+161</f>
        <v>345</v>
      </c>
      <c r="H47" s="8" t="s">
        <v>15</v>
      </c>
      <c r="I47" s="8"/>
      <c r="J47" s="16"/>
    </row>
    <row r="48" spans="1:10">
      <c r="A48" s="2">
        <v>45459</v>
      </c>
      <c r="B48" s="1">
        <v>109</v>
      </c>
      <c r="C48" s="1">
        <v>63</v>
      </c>
      <c r="G48" s="9">
        <f>109+63</f>
        <v>172</v>
      </c>
      <c r="H48" s="8"/>
    </row>
    <row r="49" spans="1:8">
      <c r="A49" s="2">
        <v>45466</v>
      </c>
      <c r="B49" s="1">
        <f>8+15+85</f>
        <v>108</v>
      </c>
      <c r="C49" s="1">
        <f>2+7+64</f>
        <v>73</v>
      </c>
      <c r="G49" s="9">
        <f>108+73</f>
        <v>181</v>
      </c>
      <c r="H49" s="8"/>
    </row>
    <row r="50" spans="1:8">
      <c r="A50" s="2"/>
      <c r="B50" s="1"/>
      <c r="C50" s="1"/>
      <c r="H50" s="8"/>
    </row>
    <row r="51" spans="1:8">
      <c r="A51" s="3" t="s">
        <v>5</v>
      </c>
      <c r="B51" s="4"/>
      <c r="C51" s="4"/>
      <c r="D51" s="3"/>
      <c r="E51" s="3"/>
      <c r="F51" s="3"/>
      <c r="G51" s="23">
        <f>SUM(G45:G48)</f>
        <v>828</v>
      </c>
      <c r="H51" s="8"/>
    </row>
    <row r="52" spans="1:8">
      <c r="A52" s="5" t="s">
        <v>6</v>
      </c>
      <c r="B52" s="6"/>
      <c r="C52" s="6"/>
      <c r="D52" s="5"/>
      <c r="E52" s="5"/>
      <c r="F52" s="5"/>
      <c r="G52" s="21">
        <f>AVERAGE(G45:G48)</f>
        <v>276</v>
      </c>
      <c r="H52" s="8"/>
    </row>
    <row r="53" spans="1:8">
      <c r="A53" s="2"/>
      <c r="B53" s="1"/>
      <c r="C53" s="1"/>
      <c r="H53" s="8"/>
    </row>
    <row r="54" spans="1:8">
      <c r="A54" s="2">
        <v>45480</v>
      </c>
      <c r="B54" s="1"/>
      <c r="C54" s="1"/>
      <c r="F54" s="16"/>
      <c r="H54" s="8"/>
    </row>
    <row r="55" spans="1:8">
      <c r="A55" s="2">
        <v>45487</v>
      </c>
      <c r="B55" s="1"/>
      <c r="C55" s="1"/>
      <c r="F55" s="16"/>
    </row>
    <row r="56" spans="1:8">
      <c r="A56" s="2">
        <v>45494</v>
      </c>
      <c r="B56" s="1"/>
      <c r="C56" s="1"/>
    </row>
    <row r="57" spans="1:8">
      <c r="A57" s="2">
        <v>45501</v>
      </c>
      <c r="B57" s="1"/>
      <c r="C57" s="1"/>
    </row>
    <row r="58" spans="1:8">
      <c r="A58" s="2"/>
      <c r="B58" s="1"/>
      <c r="C58" s="1"/>
      <c r="H58" s="8"/>
    </row>
    <row r="59" spans="1:8">
      <c r="A59" s="3" t="s">
        <v>5</v>
      </c>
      <c r="B59" s="4"/>
      <c r="C59" s="4"/>
      <c r="D59" s="3"/>
      <c r="E59" s="3"/>
      <c r="F59" s="3"/>
      <c r="G59" s="23">
        <f>SUM(G53:G58)</f>
        <v>0</v>
      </c>
    </row>
    <row r="60" spans="1:8">
      <c r="A60" s="5" t="s">
        <v>6</v>
      </c>
      <c r="B60" s="6"/>
      <c r="C60" s="6"/>
      <c r="D60" s="5"/>
      <c r="E60" s="5"/>
      <c r="F60" s="5"/>
      <c r="G60" s="21" t="e">
        <f>AVERAGE(G53:G58)</f>
        <v>#DIV/0!</v>
      </c>
    </row>
    <row r="61" spans="1:8">
      <c r="A61" s="2"/>
      <c r="B61" s="1"/>
      <c r="C61" s="1"/>
    </row>
    <row r="62" spans="1:8">
      <c r="A62" s="2">
        <v>45508</v>
      </c>
      <c r="B62" s="1">
        <v>118</v>
      </c>
      <c r="C62" s="1">
        <v>124</v>
      </c>
      <c r="G62" s="9">
        <f>B62+C62</f>
        <v>242</v>
      </c>
    </row>
    <row r="63" spans="1:8">
      <c r="A63" s="2">
        <v>45515</v>
      </c>
      <c r="B63" s="1">
        <v>121</v>
      </c>
      <c r="C63" s="1">
        <v>107</v>
      </c>
      <c r="G63" s="9">
        <f t="shared" ref="G63:G65" si="0">B63+C63</f>
        <v>228</v>
      </c>
    </row>
    <row r="64" spans="1:8">
      <c r="A64" s="2">
        <v>45522</v>
      </c>
      <c r="B64" s="1">
        <v>107</v>
      </c>
      <c r="C64" s="1">
        <v>147</v>
      </c>
      <c r="G64" s="9">
        <f t="shared" si="0"/>
        <v>254</v>
      </c>
    </row>
    <row r="65" spans="1:8">
      <c r="A65" s="2">
        <v>45529</v>
      </c>
      <c r="B65" s="1">
        <v>143</v>
      </c>
      <c r="C65" s="1">
        <v>107</v>
      </c>
      <c r="G65" s="9">
        <f t="shared" si="0"/>
        <v>250</v>
      </c>
    </row>
    <row r="66" spans="1:8">
      <c r="A66" s="2"/>
      <c r="B66" s="1"/>
      <c r="C66" s="1"/>
    </row>
    <row r="67" spans="1:8">
      <c r="A67" s="3" t="s">
        <v>5</v>
      </c>
      <c r="B67" s="4"/>
      <c r="C67" s="4"/>
      <c r="D67" s="3"/>
      <c r="E67" s="3"/>
      <c r="F67" s="3"/>
      <c r="G67" s="23">
        <f>SUM(G61:G65)</f>
        <v>974</v>
      </c>
    </row>
    <row r="68" spans="1:8">
      <c r="A68" s="5" t="s">
        <v>6</v>
      </c>
      <c r="B68" s="6"/>
      <c r="C68" s="6"/>
      <c r="D68" s="5"/>
      <c r="E68" s="5"/>
      <c r="F68" s="5"/>
      <c r="G68" s="21">
        <f>AVERAGE(G61:G65)</f>
        <v>243.5</v>
      </c>
    </row>
    <row r="69" spans="1:8">
      <c r="A69" s="2"/>
      <c r="B69" s="1"/>
      <c r="C69" s="1"/>
      <c r="H69" s="8"/>
    </row>
    <row r="70" spans="1:8">
      <c r="A70" s="2">
        <v>45536</v>
      </c>
      <c r="B70" s="1">
        <v>154</v>
      </c>
      <c r="C70" s="1"/>
      <c r="F70" s="16"/>
      <c r="G70" s="9">
        <v>154</v>
      </c>
      <c r="H70" t="s">
        <v>16</v>
      </c>
    </row>
    <row r="71" spans="1:8">
      <c r="A71" s="2">
        <v>45543</v>
      </c>
      <c r="B71" s="1">
        <v>108</v>
      </c>
      <c r="C71" s="1">
        <v>103</v>
      </c>
      <c r="G71" s="9">
        <v>211</v>
      </c>
    </row>
    <row r="72" spans="1:8">
      <c r="A72" s="2">
        <v>45550</v>
      </c>
      <c r="B72" s="1">
        <v>97</v>
      </c>
      <c r="C72" s="1">
        <v>118</v>
      </c>
      <c r="G72" s="9">
        <v>215</v>
      </c>
    </row>
    <row r="73" spans="1:8">
      <c r="A73" s="2">
        <v>45557</v>
      </c>
      <c r="B73" s="1">
        <v>99</v>
      </c>
      <c r="C73" s="1">
        <v>81</v>
      </c>
      <c r="G73" s="9">
        <v>180</v>
      </c>
    </row>
    <row r="74" spans="1:8">
      <c r="A74" s="2">
        <v>45564</v>
      </c>
      <c r="B74" s="1">
        <v>96</v>
      </c>
      <c r="C74" s="1">
        <v>105</v>
      </c>
      <c r="G74" s="9">
        <v>201</v>
      </c>
    </row>
    <row r="75" spans="1:8">
      <c r="B75" s="1"/>
      <c r="C75" s="1"/>
    </row>
    <row r="76" spans="1:8">
      <c r="A76" s="3" t="s">
        <v>5</v>
      </c>
      <c r="B76" s="4"/>
      <c r="C76" s="4"/>
      <c r="D76" s="3"/>
      <c r="E76" s="3"/>
      <c r="F76" s="3"/>
      <c r="G76" s="23">
        <f>SUM(G69:G75)</f>
        <v>961</v>
      </c>
    </row>
    <row r="77" spans="1:8">
      <c r="A77" s="5" t="s">
        <v>6</v>
      </c>
      <c r="B77" s="6"/>
      <c r="C77" s="6"/>
      <c r="D77" s="5"/>
      <c r="E77" s="5"/>
      <c r="F77" s="5"/>
      <c r="G77" s="21">
        <f>AVERAGE(G69:G75)</f>
        <v>192.2</v>
      </c>
    </row>
    <row r="78" spans="1:8">
      <c r="A78" s="2">
        <v>45571</v>
      </c>
      <c r="B78" s="1">
        <v>101</v>
      </c>
      <c r="C78" s="1">
        <v>92</v>
      </c>
      <c r="G78" s="9">
        <v>193</v>
      </c>
    </row>
    <row r="79" spans="1:8">
      <c r="A79" s="2">
        <v>45578</v>
      </c>
      <c r="B79" s="1">
        <v>97</v>
      </c>
      <c r="C79" s="1">
        <v>90</v>
      </c>
      <c r="G79" s="9">
        <v>187</v>
      </c>
    </row>
    <row r="80" spans="1:8">
      <c r="A80" s="2">
        <v>45585</v>
      </c>
      <c r="B80" s="1">
        <v>94</v>
      </c>
      <c r="C80" s="1">
        <v>98</v>
      </c>
      <c r="G80" s="9">
        <v>192</v>
      </c>
    </row>
    <row r="81" spans="1:11">
      <c r="A81" s="2">
        <v>45592</v>
      </c>
      <c r="B81" s="1"/>
      <c r="C81" s="1"/>
      <c r="G81" s="9">
        <v>161</v>
      </c>
      <c r="H81" t="s">
        <v>16</v>
      </c>
      <c r="J81" t="s">
        <v>17</v>
      </c>
      <c r="K81" t="s">
        <v>18</v>
      </c>
    </row>
    <row r="82" spans="1:11">
      <c r="A82" s="2"/>
      <c r="B82" s="1"/>
      <c r="C82" s="1"/>
    </row>
    <row r="83" spans="1:11">
      <c r="A83" s="2"/>
      <c r="B83" s="1"/>
      <c r="C83" s="1"/>
    </row>
    <row r="84" spans="1:11">
      <c r="A84" s="3" t="s">
        <v>5</v>
      </c>
      <c r="B84" s="4"/>
      <c r="C84" s="4"/>
      <c r="D84" s="3"/>
      <c r="E84" s="3"/>
      <c r="F84" s="3"/>
      <c r="G84" s="23">
        <f>SUM(G78:G83)</f>
        <v>733</v>
      </c>
    </row>
    <row r="85" spans="1:11">
      <c r="A85" s="5" t="s">
        <v>6</v>
      </c>
      <c r="B85" s="6"/>
      <c r="C85" s="6"/>
      <c r="D85" s="5"/>
      <c r="E85" s="5"/>
      <c r="F85" s="5"/>
      <c r="G85" s="21">
        <f>AVERAGE(G78:G83)</f>
        <v>183.25</v>
      </c>
    </row>
    <row r="86" spans="1:11">
      <c r="A86" s="2">
        <v>45599</v>
      </c>
      <c r="B86" s="1">
        <v>108</v>
      </c>
      <c r="C86" s="1">
        <v>105</v>
      </c>
      <c r="G86" s="9">
        <v>213</v>
      </c>
    </row>
    <row r="87" spans="1:11">
      <c r="A87" s="2">
        <v>45606</v>
      </c>
      <c r="B87" s="1">
        <v>109</v>
      </c>
      <c r="C87" s="1">
        <v>96</v>
      </c>
      <c r="G87" s="9">
        <v>205</v>
      </c>
      <c r="H87" s="8"/>
    </row>
    <row r="88" spans="1:11">
      <c r="A88" s="2">
        <v>45613</v>
      </c>
      <c r="B88" s="1">
        <v>100</v>
      </c>
      <c r="C88" s="1">
        <v>93</v>
      </c>
      <c r="G88" s="9">
        <v>193</v>
      </c>
      <c r="H88" t="s">
        <v>19</v>
      </c>
    </row>
    <row r="89" spans="1:11">
      <c r="A89" s="2">
        <v>45620</v>
      </c>
      <c r="B89" s="1">
        <v>93</v>
      </c>
      <c r="C89" s="1">
        <v>118</v>
      </c>
      <c r="G89" s="9">
        <v>211</v>
      </c>
    </row>
    <row r="90" spans="1:11">
      <c r="A90" s="2"/>
      <c r="B90" s="1"/>
      <c r="C90" s="1"/>
    </row>
    <row r="91" spans="1:11">
      <c r="A91" s="3" t="s">
        <v>20</v>
      </c>
      <c r="B91" s="4"/>
      <c r="C91" s="4"/>
      <c r="D91" s="3"/>
      <c r="E91" s="3"/>
      <c r="F91" s="3"/>
      <c r="G91" s="23">
        <f>SUM(G86:G90)</f>
        <v>822</v>
      </c>
    </row>
    <row r="92" spans="1:11">
      <c r="A92" s="5" t="s">
        <v>6</v>
      </c>
      <c r="B92" s="6"/>
      <c r="C92" s="6"/>
      <c r="D92" s="5"/>
      <c r="E92" s="5"/>
      <c r="F92" s="5"/>
      <c r="G92" s="21">
        <f>AVERAGE(G86:G90)</f>
        <v>205.5</v>
      </c>
    </row>
    <row r="93" spans="1:11">
      <c r="A93" s="2"/>
      <c r="B93" s="1"/>
      <c r="C93" s="1"/>
    </row>
    <row r="94" spans="1:11" s="10" customFormat="1">
      <c r="A94" s="17"/>
      <c r="B94" s="18"/>
      <c r="C94" s="18"/>
      <c r="G94" s="27"/>
    </row>
    <row r="95" spans="1:11">
      <c r="A95" s="2">
        <v>45627</v>
      </c>
      <c r="B95" s="1">
        <v>85</v>
      </c>
      <c r="C95" s="1">
        <v>91</v>
      </c>
      <c r="G95" s="9">
        <v>176</v>
      </c>
      <c r="H95" s="8"/>
    </row>
    <row r="96" spans="1:11">
      <c r="A96" s="19">
        <v>45634</v>
      </c>
      <c r="B96" s="20">
        <v>99</v>
      </c>
      <c r="C96" s="20">
        <v>107</v>
      </c>
      <c r="D96" s="8"/>
      <c r="E96" s="8"/>
      <c r="F96" s="8"/>
      <c r="G96" s="28">
        <v>206</v>
      </c>
      <c r="H96" s="8"/>
      <c r="I96" s="8"/>
    </row>
    <row r="97" spans="1:9">
      <c r="A97" s="2">
        <v>45641</v>
      </c>
      <c r="B97" s="1">
        <v>126</v>
      </c>
      <c r="C97" s="1">
        <v>140</v>
      </c>
      <c r="G97" s="9">
        <v>266</v>
      </c>
      <c r="H97" s="8"/>
      <c r="I97" s="8"/>
    </row>
    <row r="98" spans="1:9">
      <c r="A98" s="2">
        <v>45648</v>
      </c>
      <c r="B98" s="1">
        <v>100</v>
      </c>
      <c r="C98" s="1">
        <v>110</v>
      </c>
      <c r="D98" s="1"/>
      <c r="E98" s="1"/>
      <c r="G98" s="9">
        <v>210</v>
      </c>
      <c r="H98" s="8"/>
    </row>
    <row r="99" spans="1:9">
      <c r="A99" s="2">
        <v>45650</v>
      </c>
      <c r="B99" s="1"/>
      <c r="C99" s="1"/>
      <c r="D99" s="1"/>
      <c r="E99" s="1"/>
      <c r="G99" s="9">
        <v>208</v>
      </c>
      <c r="H99" s="8" t="s">
        <v>21</v>
      </c>
    </row>
    <row r="100" spans="1:9">
      <c r="A100" s="2">
        <v>45650</v>
      </c>
      <c r="B100" s="1"/>
      <c r="C100" s="1"/>
      <c r="D100" s="1"/>
      <c r="E100" s="1"/>
      <c r="G100" s="9">
        <v>278</v>
      </c>
      <c r="H100" s="8" t="s">
        <v>22</v>
      </c>
    </row>
    <row r="101" spans="1:9">
      <c r="A101" s="2">
        <v>45655</v>
      </c>
      <c r="B101" s="1"/>
      <c r="C101" s="1"/>
      <c r="G101" s="9">
        <v>183</v>
      </c>
      <c r="H101" s="8" t="s">
        <v>23</v>
      </c>
    </row>
    <row r="102" spans="1:9">
      <c r="A102" s="2"/>
      <c r="B102" s="1"/>
      <c r="C102" s="1"/>
      <c r="H102" s="8"/>
    </row>
    <row r="103" spans="1:9">
      <c r="A103" s="3" t="s">
        <v>5</v>
      </c>
      <c r="B103" s="4"/>
      <c r="C103" s="4"/>
      <c r="D103" s="3"/>
      <c r="E103" s="3"/>
      <c r="F103" s="3"/>
      <c r="G103" s="23">
        <f>SUM(G93:G102)</f>
        <v>1527</v>
      </c>
    </row>
    <row r="104" spans="1:9">
      <c r="A104" s="5" t="s">
        <v>6</v>
      </c>
      <c r="B104" s="6"/>
      <c r="C104" s="6"/>
      <c r="D104" s="5"/>
      <c r="E104" s="5"/>
      <c r="F104" s="5"/>
      <c r="G104" s="21">
        <f>AVERAGE(G93:G102)</f>
        <v>218.14285714285714</v>
      </c>
    </row>
    <row r="105" spans="1:9">
      <c r="B105" s="1"/>
      <c r="C105" s="1"/>
    </row>
    <row r="106" spans="1:9">
      <c r="A106" s="3" t="s">
        <v>24</v>
      </c>
      <c r="B106" s="3"/>
      <c r="C106" s="3"/>
      <c r="D106" s="3"/>
      <c r="E106" s="3"/>
      <c r="F106" s="3"/>
      <c r="G106" s="23">
        <f>SUM(G9+G17+G28+G36+G43+G51+G59+G67+G76+G84+G91+G103)</f>
        <v>13186</v>
      </c>
    </row>
    <row r="107" spans="1:9">
      <c r="A107" s="7" t="s">
        <v>25</v>
      </c>
      <c r="B107" s="7"/>
      <c r="C107" s="7"/>
      <c r="D107" s="7"/>
      <c r="E107" s="7"/>
      <c r="F107" s="7"/>
      <c r="G107" s="24">
        <f>AVERAGE(G68,G77,G85,G92,G104)</f>
        <v>208.51857142857142</v>
      </c>
    </row>
  </sheetData>
  <mergeCells count="2">
    <mergeCell ref="A1:G1"/>
    <mergeCell ref="N20:O20"/>
  </mergeCells>
  <phoneticPr fontId="2" type="noConversion"/>
  <pageMargins left="0.7" right="0.7" top="0.75" bottom="0.75" header="0.3" footer="0.3"/>
  <pageSetup orientation="landscape" r:id="rId1"/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AF8E-F020-4D5A-B111-BE9C7A0CF4D5}">
  <dimension ref="A1:AO63"/>
  <sheetViews>
    <sheetView topLeftCell="A50" workbookViewId="0">
      <selection activeCell="K63" sqref="K63:L63"/>
    </sheetView>
  </sheetViews>
  <sheetFormatPr defaultRowHeight="15"/>
  <cols>
    <col min="1" max="1" width="12.5703125" style="30" customWidth="1"/>
    <col min="2" max="2" width="26.42578125" style="34" customWidth="1"/>
    <col min="3" max="4" width="9.140625" style="34"/>
    <col min="5" max="5" width="12.85546875" style="34" customWidth="1"/>
    <col min="6" max="6" width="9.140625" style="34"/>
    <col min="7" max="7" width="10.7109375" style="34" customWidth="1"/>
    <col min="8" max="8" width="11" style="34" customWidth="1"/>
    <col min="9" max="9" width="13.28515625" style="34" customWidth="1"/>
    <col min="10" max="10" width="14.28515625" style="34" customWidth="1"/>
    <col min="11" max="12" width="14.28515625" style="35" customWidth="1"/>
    <col min="13" max="14" width="10.85546875" style="34" customWidth="1"/>
    <col min="15" max="15" width="12.7109375" style="34" customWidth="1"/>
    <col min="16" max="16" width="15.28515625" style="34" customWidth="1"/>
    <col min="17" max="17" width="9.140625" style="34"/>
    <col min="18" max="18" width="11.140625" style="34" customWidth="1"/>
    <col min="19" max="19" width="12" style="34" customWidth="1"/>
    <col min="20" max="20" width="14.28515625" style="34" customWidth="1"/>
    <col min="21" max="21" width="13.85546875" style="34" customWidth="1"/>
    <col min="22" max="41" width="9.140625" style="34"/>
    <col min="42" max="16384" width="9.140625" style="30"/>
  </cols>
  <sheetData>
    <row r="1" spans="1:25" s="32" customFormat="1" ht="76.5">
      <c r="B1" s="32" t="s">
        <v>26</v>
      </c>
      <c r="C1" s="32" t="s">
        <v>27</v>
      </c>
      <c r="D1" s="32" t="s">
        <v>4</v>
      </c>
      <c r="E1" s="32" t="s">
        <v>28</v>
      </c>
      <c r="F1" s="32" t="s">
        <v>29</v>
      </c>
      <c r="G1" s="32" t="s">
        <v>30</v>
      </c>
      <c r="H1" s="32" t="s">
        <v>31</v>
      </c>
      <c r="I1" s="32" t="s">
        <v>32</v>
      </c>
      <c r="J1" s="32" t="s">
        <v>33</v>
      </c>
      <c r="K1" s="33" t="s">
        <v>34</v>
      </c>
      <c r="L1" s="33" t="s">
        <v>35</v>
      </c>
      <c r="M1" s="32" t="s">
        <v>36</v>
      </c>
      <c r="N1" s="32" t="s">
        <v>37</v>
      </c>
      <c r="O1" s="32" t="s">
        <v>38</v>
      </c>
      <c r="P1" s="32" t="s">
        <v>39</v>
      </c>
      <c r="Q1" s="32" t="s">
        <v>40</v>
      </c>
      <c r="R1" s="32" t="s">
        <v>41</v>
      </c>
      <c r="S1" s="32" t="s">
        <v>42</v>
      </c>
      <c r="T1" s="32" t="s">
        <v>43</v>
      </c>
      <c r="W1" s="32" t="s">
        <v>44</v>
      </c>
      <c r="X1" s="32" t="s">
        <v>45</v>
      </c>
      <c r="Y1" s="32" t="s">
        <v>46</v>
      </c>
    </row>
    <row r="2" spans="1:25">
      <c r="A2" s="29">
        <v>45662</v>
      </c>
      <c r="B2" s="34">
        <v>28</v>
      </c>
      <c r="C2" s="34">
        <v>9</v>
      </c>
      <c r="D2" s="34">
        <f t="shared" ref="D2:D10" si="0">SUM(B2:C2)</f>
        <v>37</v>
      </c>
      <c r="E2" s="34">
        <v>88</v>
      </c>
      <c r="F2" s="34">
        <v>11</v>
      </c>
      <c r="G2" s="34">
        <v>99</v>
      </c>
      <c r="H2" s="34">
        <v>1</v>
      </c>
      <c r="I2" s="34">
        <v>97</v>
      </c>
      <c r="J2" s="34">
        <v>9</v>
      </c>
      <c r="K2" s="35">
        <f>SUM(E2+F2+H2)</f>
        <v>100</v>
      </c>
      <c r="L2" s="35">
        <f>SUM(I2+J2)</f>
        <v>106</v>
      </c>
      <c r="O2" s="34">
        <v>83</v>
      </c>
      <c r="P2" s="34">
        <v>57</v>
      </c>
      <c r="Q2" s="34">
        <f>SUM(G2+H2+I2+J2)</f>
        <v>206</v>
      </c>
      <c r="R2" s="34">
        <v>140</v>
      </c>
      <c r="S2" s="34">
        <f>SUM(G2+H2)+(O2*1.8)</f>
        <v>249.4</v>
      </c>
      <c r="T2" s="34">
        <f>SUM(J2+I2)+(P2*1.8)</f>
        <v>208.60000000000002</v>
      </c>
      <c r="Y2" s="34">
        <f t="shared" ref="Y2:Y9" si="1">SUM(R2+Q2)</f>
        <v>346</v>
      </c>
    </row>
    <row r="3" spans="1:25">
      <c r="A3" s="29">
        <v>45669</v>
      </c>
      <c r="B3" s="34">
        <v>36</v>
      </c>
      <c r="C3" s="34">
        <v>9</v>
      </c>
      <c r="D3" s="34">
        <f t="shared" si="0"/>
        <v>45</v>
      </c>
      <c r="E3" s="34">
        <v>85</v>
      </c>
      <c r="F3" s="34">
        <v>12</v>
      </c>
      <c r="G3" s="34">
        <v>96</v>
      </c>
      <c r="H3" s="34">
        <v>2</v>
      </c>
      <c r="I3" s="34">
        <v>96</v>
      </c>
      <c r="J3" s="34">
        <v>3</v>
      </c>
      <c r="K3" s="35">
        <f t="shared" ref="K3:K58" si="2">SUM(E3+F3+H3)</f>
        <v>99</v>
      </c>
      <c r="L3" s="35">
        <f t="shared" ref="L3:L58" si="3">SUM(I3+J3)</f>
        <v>99</v>
      </c>
      <c r="M3" s="34">
        <v>9</v>
      </c>
      <c r="O3" s="34">
        <v>51</v>
      </c>
      <c r="P3" s="34">
        <v>35</v>
      </c>
      <c r="Q3" s="34">
        <f t="shared" ref="Q3:Q58" si="4">SUM(G3+H3+I3+J3)</f>
        <v>197</v>
      </c>
      <c r="R3" s="34">
        <f t="shared" ref="R3:R9" si="5">SUM(O3+P3)</f>
        <v>86</v>
      </c>
      <c r="S3" s="34">
        <f t="shared" ref="S3:S10" si="6">SUM(G3+H3)+(O3*2.5)</f>
        <v>225.5</v>
      </c>
      <c r="T3" s="34">
        <f t="shared" ref="T3:T10" si="7">SUM(J3+I3)+(P3*2.5)</f>
        <v>186.5</v>
      </c>
      <c r="Y3" s="34">
        <f t="shared" si="1"/>
        <v>283</v>
      </c>
    </row>
    <row r="4" spans="1:25">
      <c r="A4" s="29">
        <v>45676</v>
      </c>
      <c r="N4" s="34">
        <v>141</v>
      </c>
      <c r="O4" s="34">
        <v>39</v>
      </c>
      <c r="R4" s="34">
        <f t="shared" si="5"/>
        <v>39</v>
      </c>
      <c r="S4" s="34">
        <f t="shared" si="6"/>
        <v>97.5</v>
      </c>
      <c r="V4" s="34" t="s">
        <v>47</v>
      </c>
      <c r="Y4" s="34">
        <f t="shared" si="1"/>
        <v>39</v>
      </c>
    </row>
    <row r="5" spans="1:25">
      <c r="A5" s="29">
        <v>45683</v>
      </c>
      <c r="B5" s="34">
        <v>36</v>
      </c>
      <c r="C5" s="34">
        <v>22</v>
      </c>
      <c r="D5" s="34">
        <f t="shared" si="0"/>
        <v>58</v>
      </c>
      <c r="E5" s="34">
        <v>93</v>
      </c>
      <c r="F5" s="34">
        <v>15</v>
      </c>
      <c r="G5" s="34">
        <v>108</v>
      </c>
      <c r="H5" s="34">
        <v>0</v>
      </c>
      <c r="I5" s="34">
        <v>123</v>
      </c>
      <c r="J5" s="34">
        <v>6</v>
      </c>
      <c r="K5" s="35">
        <f t="shared" si="2"/>
        <v>108</v>
      </c>
      <c r="L5" s="35">
        <f t="shared" si="3"/>
        <v>129</v>
      </c>
      <c r="M5" s="34">
        <v>17</v>
      </c>
      <c r="O5" s="34">
        <v>13</v>
      </c>
      <c r="P5" s="34">
        <v>7</v>
      </c>
      <c r="Q5" s="34">
        <f t="shared" si="4"/>
        <v>237</v>
      </c>
      <c r="R5" s="34">
        <f t="shared" si="5"/>
        <v>20</v>
      </c>
      <c r="S5" s="34">
        <f t="shared" si="6"/>
        <v>140.5</v>
      </c>
      <c r="T5" s="34">
        <f t="shared" si="7"/>
        <v>146.5</v>
      </c>
      <c r="W5" s="34">
        <v>45</v>
      </c>
      <c r="X5" s="34">
        <v>24</v>
      </c>
      <c r="Y5" s="34">
        <f t="shared" si="1"/>
        <v>257</v>
      </c>
    </row>
    <row r="6" spans="1:25">
      <c r="A6" s="29">
        <v>45690</v>
      </c>
      <c r="B6" s="34">
        <v>53</v>
      </c>
      <c r="C6" s="34">
        <v>28</v>
      </c>
      <c r="D6" s="34">
        <f t="shared" si="0"/>
        <v>81</v>
      </c>
      <c r="E6" s="34">
        <v>89</v>
      </c>
      <c r="F6" s="34">
        <v>13</v>
      </c>
      <c r="G6" s="34">
        <f t="shared" ref="G6:G58" si="8">SUM(E6:F6)</f>
        <v>102</v>
      </c>
      <c r="H6" s="34">
        <v>5</v>
      </c>
      <c r="I6" s="34">
        <v>99</v>
      </c>
      <c r="J6" s="34">
        <v>8</v>
      </c>
      <c r="K6" s="35">
        <f t="shared" si="2"/>
        <v>107</v>
      </c>
      <c r="L6" s="35">
        <f t="shared" si="3"/>
        <v>107</v>
      </c>
      <c r="M6" s="34">
        <v>0</v>
      </c>
      <c r="O6" s="34">
        <v>22</v>
      </c>
      <c r="P6" s="34">
        <v>31</v>
      </c>
      <c r="Q6" s="34">
        <f t="shared" si="4"/>
        <v>214</v>
      </c>
      <c r="R6" s="34">
        <f t="shared" si="5"/>
        <v>53</v>
      </c>
      <c r="S6" s="34">
        <f t="shared" si="6"/>
        <v>162</v>
      </c>
      <c r="T6" s="34">
        <f t="shared" si="7"/>
        <v>184.5</v>
      </c>
      <c r="W6" s="34">
        <v>40</v>
      </c>
      <c r="X6" s="34">
        <v>26</v>
      </c>
      <c r="Y6" s="34">
        <f t="shared" si="1"/>
        <v>267</v>
      </c>
    </row>
    <row r="7" spans="1:25">
      <c r="A7" s="29">
        <v>45697</v>
      </c>
      <c r="B7" s="34">
        <v>40</v>
      </c>
      <c r="C7" s="34">
        <v>14</v>
      </c>
      <c r="D7" s="34">
        <f t="shared" si="0"/>
        <v>54</v>
      </c>
      <c r="E7" s="34">
        <v>73</v>
      </c>
      <c r="F7" s="34">
        <v>13</v>
      </c>
      <c r="G7" s="34">
        <f t="shared" si="8"/>
        <v>86</v>
      </c>
      <c r="H7" s="34">
        <v>6</v>
      </c>
      <c r="I7" s="34">
        <v>97</v>
      </c>
      <c r="J7" s="34">
        <v>7</v>
      </c>
      <c r="K7" s="35">
        <f t="shared" si="2"/>
        <v>92</v>
      </c>
      <c r="L7" s="35">
        <f t="shared" si="3"/>
        <v>104</v>
      </c>
      <c r="M7" s="34">
        <v>14</v>
      </c>
      <c r="O7" s="34">
        <v>28</v>
      </c>
      <c r="P7" s="34">
        <v>14</v>
      </c>
      <c r="Q7" s="34">
        <f t="shared" si="4"/>
        <v>196</v>
      </c>
      <c r="R7" s="34">
        <f t="shared" si="5"/>
        <v>42</v>
      </c>
      <c r="S7" s="34">
        <f t="shared" si="6"/>
        <v>162</v>
      </c>
      <c r="T7" s="34">
        <f t="shared" si="7"/>
        <v>139</v>
      </c>
      <c r="W7" s="34" t="s">
        <v>48</v>
      </c>
      <c r="X7" s="34">
        <v>17</v>
      </c>
      <c r="Y7" s="34">
        <f t="shared" si="1"/>
        <v>238</v>
      </c>
    </row>
    <row r="8" spans="1:25">
      <c r="A8" s="29">
        <v>45704</v>
      </c>
      <c r="B8" s="34">
        <v>35</v>
      </c>
      <c r="C8" s="34">
        <v>27</v>
      </c>
      <c r="D8" s="34">
        <f t="shared" si="0"/>
        <v>62</v>
      </c>
      <c r="E8" s="34">
        <v>97</v>
      </c>
      <c r="F8" s="34">
        <v>14</v>
      </c>
      <c r="G8" s="34">
        <v>111</v>
      </c>
      <c r="H8" s="34">
        <v>10</v>
      </c>
      <c r="I8" s="34">
        <v>96</v>
      </c>
      <c r="J8" s="34">
        <v>12</v>
      </c>
      <c r="K8" s="35">
        <f t="shared" si="2"/>
        <v>121</v>
      </c>
      <c r="L8" s="35">
        <f t="shared" si="3"/>
        <v>108</v>
      </c>
      <c r="M8" s="34">
        <v>11</v>
      </c>
      <c r="O8" s="34">
        <v>16</v>
      </c>
      <c r="P8" s="34">
        <v>15</v>
      </c>
      <c r="Q8" s="34">
        <f t="shared" si="4"/>
        <v>229</v>
      </c>
      <c r="R8" s="34">
        <f t="shared" si="5"/>
        <v>31</v>
      </c>
      <c r="S8" s="34">
        <f t="shared" si="6"/>
        <v>161</v>
      </c>
      <c r="T8" s="34">
        <f t="shared" si="7"/>
        <v>145.5</v>
      </c>
      <c r="W8" s="34">
        <v>40</v>
      </c>
      <c r="X8" s="34">
        <v>31</v>
      </c>
      <c r="Y8" s="34">
        <f t="shared" si="1"/>
        <v>260</v>
      </c>
    </row>
    <row r="9" spans="1:25">
      <c r="A9" s="29">
        <v>45711</v>
      </c>
      <c r="B9" s="34">
        <v>37</v>
      </c>
      <c r="C9" s="34">
        <v>20</v>
      </c>
      <c r="D9" s="34">
        <f t="shared" si="0"/>
        <v>57</v>
      </c>
      <c r="E9" s="34">
        <v>96</v>
      </c>
      <c r="F9" s="34">
        <v>14</v>
      </c>
      <c r="G9" s="34">
        <f t="shared" si="8"/>
        <v>110</v>
      </c>
      <c r="H9" s="34">
        <v>5</v>
      </c>
      <c r="I9" s="34">
        <v>95</v>
      </c>
      <c r="J9" s="34">
        <v>9</v>
      </c>
      <c r="K9" s="35">
        <f t="shared" si="2"/>
        <v>115</v>
      </c>
      <c r="L9" s="35">
        <f t="shared" si="3"/>
        <v>104</v>
      </c>
      <c r="M9" s="34">
        <v>21</v>
      </c>
      <c r="O9" s="34">
        <v>17</v>
      </c>
      <c r="P9" s="34">
        <v>24</v>
      </c>
      <c r="Q9" s="34">
        <f t="shared" si="4"/>
        <v>219</v>
      </c>
      <c r="R9" s="34">
        <f t="shared" si="5"/>
        <v>41</v>
      </c>
      <c r="S9" s="34">
        <f t="shared" si="6"/>
        <v>157.5</v>
      </c>
      <c r="T9" s="34">
        <f t="shared" si="7"/>
        <v>164</v>
      </c>
      <c r="W9" s="34">
        <v>35</v>
      </c>
      <c r="X9" s="34">
        <v>22</v>
      </c>
      <c r="Y9" s="34">
        <f t="shared" si="1"/>
        <v>260</v>
      </c>
    </row>
    <row r="10" spans="1:25">
      <c r="A10" s="29">
        <v>45718</v>
      </c>
      <c r="M10" s="34">
        <v>10</v>
      </c>
      <c r="N10" s="34">
        <v>120</v>
      </c>
      <c r="R10" s="34">
        <v>24</v>
      </c>
      <c r="W10" s="34">
        <v>0</v>
      </c>
      <c r="X10" s="34">
        <v>0</v>
      </c>
      <c r="Y10" s="34">
        <v>154</v>
      </c>
    </row>
    <row r="11" spans="1:25">
      <c r="A11" s="29">
        <v>45721</v>
      </c>
      <c r="B11" s="36" t="s">
        <v>49</v>
      </c>
      <c r="M11" s="34">
        <v>6</v>
      </c>
      <c r="N11" s="34">
        <v>114</v>
      </c>
      <c r="R11" s="34">
        <v>17</v>
      </c>
      <c r="Y11" s="34">
        <v>137</v>
      </c>
    </row>
    <row r="12" spans="1:25">
      <c r="A12" s="29">
        <v>45725</v>
      </c>
      <c r="B12" s="37">
        <v>29</v>
      </c>
      <c r="C12" s="34">
        <v>21</v>
      </c>
      <c r="D12" s="34">
        <f>SUM(B12:C12)</f>
        <v>50</v>
      </c>
      <c r="E12" s="34">
        <v>56</v>
      </c>
      <c r="F12" s="34">
        <v>11</v>
      </c>
      <c r="G12" s="34">
        <f t="shared" si="8"/>
        <v>67</v>
      </c>
      <c r="H12" s="34">
        <v>9</v>
      </c>
      <c r="I12" s="34">
        <v>110</v>
      </c>
      <c r="J12" s="34">
        <v>17</v>
      </c>
      <c r="K12" s="35">
        <f t="shared" si="2"/>
        <v>76</v>
      </c>
      <c r="L12" s="35">
        <f t="shared" si="3"/>
        <v>127</v>
      </c>
      <c r="O12" s="34">
        <v>24</v>
      </c>
      <c r="P12" s="34">
        <v>12</v>
      </c>
      <c r="Q12" s="34">
        <f t="shared" si="4"/>
        <v>203</v>
      </c>
      <c r="R12" s="34">
        <f t="shared" ref="R12:R17" si="9">SUM(O12+P12)</f>
        <v>36</v>
      </c>
      <c r="S12" s="34">
        <f t="shared" ref="S12:S17" si="10">SUM(G12+H12)+(O12*2.5)</f>
        <v>136</v>
      </c>
      <c r="T12" s="34">
        <f t="shared" ref="T12:T17" si="11">SUM(J12+I12)+(P12*2.5)</f>
        <v>157</v>
      </c>
      <c r="W12" s="34">
        <v>40</v>
      </c>
      <c r="X12" s="34">
        <v>36</v>
      </c>
      <c r="Y12" s="34">
        <f t="shared" ref="Y12:Y17" si="12">SUM(R12+Q12)</f>
        <v>239</v>
      </c>
    </row>
    <row r="13" spans="1:25">
      <c r="A13" s="29">
        <v>45732</v>
      </c>
      <c r="B13" s="37">
        <v>28</v>
      </c>
      <c r="C13" s="34">
        <v>21</v>
      </c>
      <c r="E13" s="34">
        <v>95</v>
      </c>
      <c r="F13" s="34">
        <v>18</v>
      </c>
      <c r="G13" s="34">
        <v>113</v>
      </c>
      <c r="H13" s="34">
        <v>0</v>
      </c>
      <c r="I13" s="34">
        <v>77</v>
      </c>
      <c r="J13" s="34">
        <v>3</v>
      </c>
      <c r="K13" s="35">
        <f t="shared" si="2"/>
        <v>113</v>
      </c>
      <c r="L13" s="35">
        <f t="shared" si="3"/>
        <v>80</v>
      </c>
      <c r="M13" s="34">
        <v>18</v>
      </c>
      <c r="O13" s="34">
        <v>49</v>
      </c>
      <c r="P13" s="34">
        <v>6</v>
      </c>
      <c r="Q13" s="34">
        <f t="shared" si="4"/>
        <v>193</v>
      </c>
      <c r="R13" s="34">
        <f t="shared" si="9"/>
        <v>55</v>
      </c>
      <c r="S13" s="34">
        <f t="shared" si="10"/>
        <v>235.5</v>
      </c>
      <c r="T13" s="34">
        <f t="shared" si="11"/>
        <v>95</v>
      </c>
      <c r="W13" s="34">
        <v>42</v>
      </c>
      <c r="X13" s="34">
        <v>31</v>
      </c>
      <c r="Y13" s="34">
        <f t="shared" si="12"/>
        <v>248</v>
      </c>
    </row>
    <row r="14" spans="1:25">
      <c r="A14" s="29">
        <v>45739</v>
      </c>
      <c r="B14" s="37">
        <v>35</v>
      </c>
      <c r="C14" s="34">
        <v>22</v>
      </c>
      <c r="D14" s="34">
        <f>SUM(B14:C14)</f>
        <v>57</v>
      </c>
      <c r="E14" s="34">
        <v>96</v>
      </c>
      <c r="F14" s="34">
        <v>10</v>
      </c>
      <c r="G14" s="34">
        <f t="shared" si="8"/>
        <v>106</v>
      </c>
      <c r="H14" s="34">
        <v>2</v>
      </c>
      <c r="I14" s="34">
        <v>86</v>
      </c>
      <c r="J14" s="34">
        <v>5</v>
      </c>
      <c r="K14" s="35">
        <f t="shared" si="2"/>
        <v>108</v>
      </c>
      <c r="L14" s="35">
        <f t="shared" si="3"/>
        <v>91</v>
      </c>
      <c r="M14" s="34">
        <v>29</v>
      </c>
      <c r="O14" s="34">
        <v>23</v>
      </c>
      <c r="P14" s="34">
        <v>14</v>
      </c>
      <c r="Q14" s="34">
        <f t="shared" si="4"/>
        <v>199</v>
      </c>
      <c r="R14" s="34">
        <f t="shared" si="9"/>
        <v>37</v>
      </c>
      <c r="S14" s="34">
        <f t="shared" si="10"/>
        <v>165.5</v>
      </c>
      <c r="T14" s="34">
        <f t="shared" si="11"/>
        <v>126</v>
      </c>
      <c r="W14" s="34">
        <v>31</v>
      </c>
      <c r="X14" s="34">
        <v>24</v>
      </c>
      <c r="Y14" s="34">
        <f t="shared" si="12"/>
        <v>236</v>
      </c>
    </row>
    <row r="15" spans="1:25">
      <c r="A15" s="29">
        <v>45746</v>
      </c>
      <c r="B15" s="37">
        <v>30</v>
      </c>
      <c r="C15" s="34">
        <v>27</v>
      </c>
      <c r="D15" s="34">
        <f>SUM(B15:C15)</f>
        <v>57</v>
      </c>
      <c r="E15" s="34">
        <v>89</v>
      </c>
      <c r="F15" s="34">
        <v>12</v>
      </c>
      <c r="G15" s="34">
        <f t="shared" si="8"/>
        <v>101</v>
      </c>
      <c r="H15" s="34">
        <v>1</v>
      </c>
      <c r="I15" s="34">
        <v>64</v>
      </c>
      <c r="J15" s="34">
        <v>5</v>
      </c>
      <c r="K15" s="35">
        <f t="shared" si="2"/>
        <v>102</v>
      </c>
      <c r="L15" s="35">
        <f t="shared" si="3"/>
        <v>69</v>
      </c>
      <c r="M15" s="34">
        <v>24</v>
      </c>
      <c r="O15" s="34">
        <v>16</v>
      </c>
      <c r="P15" s="34">
        <v>8</v>
      </c>
      <c r="Q15" s="34">
        <f t="shared" si="4"/>
        <v>171</v>
      </c>
      <c r="R15" s="34">
        <f t="shared" si="9"/>
        <v>24</v>
      </c>
      <c r="S15" s="34">
        <f t="shared" si="10"/>
        <v>142</v>
      </c>
      <c r="T15" s="34">
        <f t="shared" si="11"/>
        <v>89</v>
      </c>
      <c r="W15" s="34">
        <v>17</v>
      </c>
      <c r="X15" s="34">
        <v>27</v>
      </c>
      <c r="Y15" s="34">
        <f t="shared" si="12"/>
        <v>195</v>
      </c>
    </row>
    <row r="16" spans="1:25">
      <c r="A16" s="29">
        <v>45753</v>
      </c>
      <c r="B16" s="37">
        <v>41</v>
      </c>
      <c r="C16" s="34">
        <v>23</v>
      </c>
      <c r="D16" s="34">
        <f>SUM(B16:C16)</f>
        <v>64</v>
      </c>
      <c r="E16" s="34">
        <v>109</v>
      </c>
      <c r="F16" s="34">
        <v>13</v>
      </c>
      <c r="G16" s="34">
        <f t="shared" si="8"/>
        <v>122</v>
      </c>
      <c r="H16" s="34">
        <v>5</v>
      </c>
      <c r="I16" s="34">
        <v>88</v>
      </c>
      <c r="J16" s="34">
        <v>8</v>
      </c>
      <c r="K16" s="35">
        <f t="shared" si="2"/>
        <v>127</v>
      </c>
      <c r="L16" s="35">
        <f t="shared" si="3"/>
        <v>96</v>
      </c>
      <c r="O16" s="34">
        <v>16</v>
      </c>
      <c r="P16" s="34">
        <v>21</v>
      </c>
      <c r="Q16" s="34">
        <f t="shared" si="4"/>
        <v>223</v>
      </c>
      <c r="R16" s="34">
        <f t="shared" si="9"/>
        <v>37</v>
      </c>
      <c r="S16" s="34">
        <f t="shared" si="10"/>
        <v>167</v>
      </c>
      <c r="T16" s="34">
        <f t="shared" si="11"/>
        <v>148.5</v>
      </c>
      <c r="W16" s="34">
        <v>35</v>
      </c>
      <c r="X16" s="34">
        <v>0</v>
      </c>
      <c r="Y16" s="34">
        <f t="shared" si="12"/>
        <v>260</v>
      </c>
    </row>
    <row r="17" spans="1:25">
      <c r="A17" s="29">
        <v>45760</v>
      </c>
      <c r="B17" s="37">
        <v>26</v>
      </c>
      <c r="C17" s="34">
        <v>16</v>
      </c>
      <c r="D17" s="34">
        <f>SUM(B17:C17)</f>
        <v>42</v>
      </c>
      <c r="E17" s="34">
        <v>85</v>
      </c>
      <c r="F17" s="34">
        <v>14</v>
      </c>
      <c r="G17" s="34">
        <f t="shared" si="8"/>
        <v>99</v>
      </c>
      <c r="H17" s="34">
        <v>4</v>
      </c>
      <c r="I17" s="34">
        <v>72</v>
      </c>
      <c r="J17" s="34">
        <v>3</v>
      </c>
      <c r="K17" s="35">
        <f t="shared" si="2"/>
        <v>103</v>
      </c>
      <c r="L17" s="35">
        <f t="shared" si="3"/>
        <v>75</v>
      </c>
      <c r="M17" s="34">
        <v>27</v>
      </c>
      <c r="O17" s="34">
        <v>11</v>
      </c>
      <c r="P17" s="34">
        <v>9</v>
      </c>
      <c r="Q17" s="34">
        <f t="shared" si="4"/>
        <v>178</v>
      </c>
      <c r="R17" s="34">
        <f t="shared" si="9"/>
        <v>20</v>
      </c>
      <c r="S17" s="34">
        <f t="shared" si="10"/>
        <v>130.5</v>
      </c>
      <c r="T17" s="34">
        <f t="shared" si="11"/>
        <v>97.5</v>
      </c>
      <c r="W17" s="34">
        <v>0</v>
      </c>
      <c r="X17" s="34">
        <v>0</v>
      </c>
      <c r="Y17" s="34">
        <f t="shared" si="12"/>
        <v>198</v>
      </c>
    </row>
    <row r="18" spans="1:25">
      <c r="A18" s="29">
        <v>45764</v>
      </c>
      <c r="B18" s="38" t="s">
        <v>50</v>
      </c>
      <c r="N18" s="34" t="s">
        <v>51</v>
      </c>
      <c r="R18" s="34">
        <v>16</v>
      </c>
      <c r="Y18" s="34">
        <v>16</v>
      </c>
    </row>
    <row r="19" spans="1:25">
      <c r="A19" s="29">
        <v>45765</v>
      </c>
      <c r="B19" s="38" t="s">
        <v>52</v>
      </c>
      <c r="N19" s="34" t="s">
        <v>51</v>
      </c>
      <c r="R19" s="34">
        <v>67</v>
      </c>
      <c r="Y19" s="34">
        <v>67</v>
      </c>
    </row>
    <row r="20" spans="1:25">
      <c r="A20" s="29">
        <v>45767</v>
      </c>
      <c r="B20" s="37"/>
      <c r="E20" s="34">
        <v>162</v>
      </c>
      <c r="F20" s="34">
        <v>18</v>
      </c>
      <c r="G20" s="34">
        <f t="shared" si="8"/>
        <v>180</v>
      </c>
      <c r="H20" s="34">
        <v>11</v>
      </c>
      <c r="I20" s="34">
        <v>169</v>
      </c>
      <c r="J20" s="34">
        <v>11</v>
      </c>
      <c r="K20" s="35">
        <f t="shared" si="2"/>
        <v>191</v>
      </c>
      <c r="L20" s="35">
        <f t="shared" si="3"/>
        <v>180</v>
      </c>
      <c r="N20" s="34">
        <v>67</v>
      </c>
      <c r="O20" s="34">
        <v>52</v>
      </c>
      <c r="P20" s="34">
        <v>27</v>
      </c>
      <c r="Q20" s="34">
        <f>SUM(G20+H20+I20+J20+N20)</f>
        <v>438</v>
      </c>
      <c r="R20" s="34">
        <f t="shared" ref="R20:R58" si="13">SUM(O20+P20)</f>
        <v>79</v>
      </c>
      <c r="S20" s="34">
        <f t="shared" ref="S20:S58" si="14">SUM(G20+H20)+(O20*2.5)</f>
        <v>321</v>
      </c>
      <c r="T20" s="34">
        <f t="shared" ref="T20:T33" si="15">SUM(J20+I20)+(P20*2.5)</f>
        <v>247.5</v>
      </c>
      <c r="W20" s="34">
        <v>0</v>
      </c>
      <c r="X20" s="34">
        <v>0</v>
      </c>
      <c r="Y20" s="34">
        <f t="shared" ref="Y20:Y58" si="16">SUM(R20+Q20)</f>
        <v>517</v>
      </c>
    </row>
    <row r="21" spans="1:25">
      <c r="A21" s="29">
        <v>45774</v>
      </c>
      <c r="B21" s="37">
        <v>35</v>
      </c>
      <c r="C21" s="34">
        <v>18</v>
      </c>
      <c r="D21" s="34">
        <f t="shared" ref="D21:D58" si="17">SUM(B21:C21)</f>
        <v>53</v>
      </c>
      <c r="E21" s="34">
        <v>93</v>
      </c>
      <c r="F21" s="34">
        <v>8</v>
      </c>
      <c r="G21" s="34">
        <f t="shared" si="8"/>
        <v>101</v>
      </c>
      <c r="H21" s="34">
        <v>3</v>
      </c>
      <c r="I21" s="34">
        <v>76</v>
      </c>
      <c r="J21" s="34">
        <v>6</v>
      </c>
      <c r="K21" s="35">
        <f t="shared" si="2"/>
        <v>104</v>
      </c>
      <c r="L21" s="35">
        <f t="shared" si="3"/>
        <v>82</v>
      </c>
      <c r="M21" s="34">
        <v>22</v>
      </c>
      <c r="O21" s="37">
        <v>16</v>
      </c>
      <c r="P21" s="37">
        <v>14</v>
      </c>
      <c r="Q21" s="34">
        <f t="shared" si="4"/>
        <v>186</v>
      </c>
      <c r="R21" s="34">
        <f t="shared" si="13"/>
        <v>30</v>
      </c>
      <c r="S21" s="34">
        <f t="shared" si="14"/>
        <v>144</v>
      </c>
      <c r="T21" s="34">
        <f t="shared" si="15"/>
        <v>117</v>
      </c>
      <c r="W21" s="34">
        <v>25</v>
      </c>
      <c r="X21" s="34">
        <v>24</v>
      </c>
      <c r="Y21" s="34">
        <f t="shared" si="16"/>
        <v>216</v>
      </c>
    </row>
    <row r="22" spans="1:25">
      <c r="A22" s="29">
        <v>45781</v>
      </c>
      <c r="B22" s="37">
        <v>42</v>
      </c>
      <c r="C22" s="34">
        <v>23</v>
      </c>
      <c r="D22" s="34">
        <f t="shared" si="17"/>
        <v>65</v>
      </c>
      <c r="E22" s="34">
        <v>81</v>
      </c>
      <c r="F22" s="34">
        <v>9</v>
      </c>
      <c r="G22" s="34">
        <f t="shared" si="8"/>
        <v>90</v>
      </c>
      <c r="H22" s="34">
        <v>3</v>
      </c>
      <c r="I22" s="34">
        <v>60</v>
      </c>
      <c r="J22" s="34">
        <v>8</v>
      </c>
      <c r="K22" s="35">
        <f t="shared" si="2"/>
        <v>93</v>
      </c>
      <c r="L22" s="35">
        <f t="shared" si="3"/>
        <v>68</v>
      </c>
      <c r="O22" s="34">
        <v>21</v>
      </c>
      <c r="P22" s="34">
        <v>13</v>
      </c>
      <c r="Q22" s="34">
        <f t="shared" si="4"/>
        <v>161</v>
      </c>
      <c r="R22" s="34">
        <f t="shared" si="13"/>
        <v>34</v>
      </c>
      <c r="S22" s="34">
        <f t="shared" si="14"/>
        <v>145.5</v>
      </c>
      <c r="T22" s="34">
        <f t="shared" si="15"/>
        <v>100.5</v>
      </c>
      <c r="W22" s="34">
        <v>33</v>
      </c>
      <c r="X22" s="34">
        <v>26</v>
      </c>
      <c r="Y22" s="34">
        <f t="shared" si="16"/>
        <v>195</v>
      </c>
    </row>
    <row r="23" spans="1:25">
      <c r="A23" s="29">
        <v>45788</v>
      </c>
      <c r="B23" s="37">
        <v>36</v>
      </c>
      <c r="C23" s="34">
        <v>17</v>
      </c>
      <c r="D23" s="34">
        <f t="shared" si="17"/>
        <v>53</v>
      </c>
      <c r="E23" s="34">
        <v>123</v>
      </c>
      <c r="F23" s="34">
        <v>13</v>
      </c>
      <c r="G23" s="34">
        <f t="shared" si="8"/>
        <v>136</v>
      </c>
      <c r="H23" s="34">
        <v>10</v>
      </c>
      <c r="I23" s="34">
        <v>90</v>
      </c>
      <c r="J23" s="34">
        <v>2</v>
      </c>
      <c r="K23" s="35">
        <f>SUM(E23+F23+H23)</f>
        <v>146</v>
      </c>
      <c r="L23" s="35">
        <v>92</v>
      </c>
      <c r="M23" s="34">
        <v>22</v>
      </c>
      <c r="P23" s="34">
        <v>21</v>
      </c>
      <c r="Q23" s="34">
        <f t="shared" si="4"/>
        <v>238</v>
      </c>
      <c r="R23" s="34">
        <f t="shared" si="13"/>
        <v>21</v>
      </c>
      <c r="S23" s="34">
        <f t="shared" si="14"/>
        <v>146</v>
      </c>
      <c r="T23" s="34">
        <f t="shared" si="15"/>
        <v>144.5</v>
      </c>
      <c r="Y23" s="34">
        <f t="shared" si="16"/>
        <v>259</v>
      </c>
    </row>
    <row r="24" spans="1:25">
      <c r="A24" s="29">
        <v>45795</v>
      </c>
      <c r="B24" s="37">
        <v>28</v>
      </c>
      <c r="C24" s="34">
        <v>19</v>
      </c>
      <c r="D24" s="34">
        <f t="shared" si="17"/>
        <v>47</v>
      </c>
      <c r="E24" s="34">
        <v>110</v>
      </c>
      <c r="F24" s="34">
        <v>13</v>
      </c>
      <c r="G24" s="34">
        <f t="shared" si="8"/>
        <v>123</v>
      </c>
      <c r="H24" s="34">
        <v>9</v>
      </c>
      <c r="I24" s="34">
        <v>98</v>
      </c>
      <c r="J24" s="34">
        <v>19</v>
      </c>
      <c r="K24" s="35">
        <f>SUM(E24+F24+H24)</f>
        <v>132</v>
      </c>
      <c r="L24" s="35">
        <v>117</v>
      </c>
      <c r="M24" s="34">
        <v>13</v>
      </c>
      <c r="O24" s="34">
        <v>36</v>
      </c>
      <c r="P24" s="34">
        <v>23</v>
      </c>
      <c r="Q24" s="34">
        <f t="shared" si="4"/>
        <v>249</v>
      </c>
      <c r="R24" s="34">
        <f t="shared" si="13"/>
        <v>59</v>
      </c>
      <c r="S24" s="34">
        <f t="shared" si="14"/>
        <v>222</v>
      </c>
      <c r="T24" s="34">
        <f t="shared" si="15"/>
        <v>174.5</v>
      </c>
      <c r="Y24" s="34">
        <f t="shared" si="16"/>
        <v>308</v>
      </c>
    </row>
    <row r="25" spans="1:25">
      <c r="A25" s="29">
        <v>45802</v>
      </c>
      <c r="B25" s="37" t="s">
        <v>53</v>
      </c>
      <c r="C25" s="34">
        <v>9</v>
      </c>
      <c r="D25" s="34">
        <f t="shared" si="17"/>
        <v>9</v>
      </c>
      <c r="N25" s="34">
        <v>117</v>
      </c>
      <c r="O25" s="34">
        <v>18</v>
      </c>
      <c r="R25" s="34">
        <f t="shared" si="13"/>
        <v>18</v>
      </c>
      <c r="S25" s="34">
        <f t="shared" si="14"/>
        <v>45</v>
      </c>
      <c r="Y25" s="34">
        <f t="shared" si="16"/>
        <v>18</v>
      </c>
    </row>
    <row r="26" spans="1:25">
      <c r="A26" s="29">
        <v>45809</v>
      </c>
      <c r="B26" s="37">
        <v>38</v>
      </c>
      <c r="C26" s="34">
        <v>23</v>
      </c>
      <c r="D26" s="34">
        <f t="shared" si="17"/>
        <v>61</v>
      </c>
      <c r="E26" s="34">
        <v>89</v>
      </c>
      <c r="F26" s="34">
        <v>10</v>
      </c>
      <c r="G26" s="34">
        <f t="shared" si="8"/>
        <v>99</v>
      </c>
      <c r="H26" s="34">
        <v>7</v>
      </c>
      <c r="I26" s="34">
        <v>83</v>
      </c>
      <c r="J26" s="34">
        <v>8</v>
      </c>
      <c r="K26" s="35">
        <f t="shared" si="2"/>
        <v>106</v>
      </c>
      <c r="L26" s="35">
        <f t="shared" si="3"/>
        <v>91</v>
      </c>
      <c r="O26" s="34">
        <v>17</v>
      </c>
      <c r="P26" s="34">
        <v>14</v>
      </c>
      <c r="Q26" s="34">
        <f t="shared" si="4"/>
        <v>197</v>
      </c>
      <c r="R26" s="34">
        <f t="shared" si="13"/>
        <v>31</v>
      </c>
      <c r="S26" s="34">
        <f t="shared" si="14"/>
        <v>148.5</v>
      </c>
      <c r="T26" s="34">
        <f t="shared" si="15"/>
        <v>126</v>
      </c>
      <c r="W26" s="34">
        <v>15</v>
      </c>
      <c r="Y26" s="34">
        <f t="shared" si="16"/>
        <v>228</v>
      </c>
    </row>
    <row r="27" spans="1:25">
      <c r="A27" s="29">
        <v>45816</v>
      </c>
      <c r="B27" s="37">
        <v>29</v>
      </c>
      <c r="C27" s="34">
        <v>18</v>
      </c>
      <c r="D27" s="34">
        <f t="shared" si="17"/>
        <v>47</v>
      </c>
      <c r="E27" s="34">
        <v>99</v>
      </c>
      <c r="F27" s="34">
        <v>11</v>
      </c>
      <c r="G27" s="34">
        <f t="shared" si="8"/>
        <v>110</v>
      </c>
      <c r="H27" s="34">
        <v>10</v>
      </c>
      <c r="I27" s="34">
        <v>92</v>
      </c>
      <c r="J27" s="34">
        <v>13</v>
      </c>
      <c r="K27" s="35">
        <f t="shared" si="2"/>
        <v>120</v>
      </c>
      <c r="L27" s="35">
        <f t="shared" si="3"/>
        <v>105</v>
      </c>
      <c r="M27" s="34">
        <v>18</v>
      </c>
      <c r="O27" s="34">
        <v>35</v>
      </c>
      <c r="P27" s="34">
        <v>21</v>
      </c>
      <c r="Q27" s="34">
        <f t="shared" si="4"/>
        <v>225</v>
      </c>
      <c r="R27" s="34">
        <f t="shared" si="13"/>
        <v>56</v>
      </c>
      <c r="S27" s="34">
        <f t="shared" si="14"/>
        <v>207.5</v>
      </c>
      <c r="T27" s="34">
        <f t="shared" si="15"/>
        <v>157.5</v>
      </c>
      <c r="W27" s="34">
        <v>45</v>
      </c>
      <c r="Y27" s="34">
        <f t="shared" si="16"/>
        <v>281</v>
      </c>
    </row>
    <row r="28" spans="1:25">
      <c r="A28" s="29">
        <v>45823</v>
      </c>
      <c r="B28" s="37">
        <v>30</v>
      </c>
      <c r="C28" s="34">
        <v>14</v>
      </c>
      <c r="D28" s="34">
        <f t="shared" si="17"/>
        <v>44</v>
      </c>
      <c r="E28" s="34">
        <v>79</v>
      </c>
      <c r="F28" s="34">
        <v>14</v>
      </c>
      <c r="G28" s="34">
        <f t="shared" si="8"/>
        <v>93</v>
      </c>
      <c r="H28" s="34">
        <v>7</v>
      </c>
      <c r="I28" s="34">
        <v>75</v>
      </c>
      <c r="J28" s="34">
        <v>10</v>
      </c>
      <c r="K28" s="35">
        <f t="shared" si="2"/>
        <v>100</v>
      </c>
      <c r="L28" s="35">
        <f t="shared" si="3"/>
        <v>85</v>
      </c>
      <c r="M28" s="34">
        <v>13</v>
      </c>
      <c r="O28" s="34">
        <v>19</v>
      </c>
      <c r="P28" s="34">
        <v>15</v>
      </c>
      <c r="Q28" s="34">
        <f t="shared" si="4"/>
        <v>185</v>
      </c>
      <c r="R28" s="34">
        <f t="shared" si="13"/>
        <v>34</v>
      </c>
      <c r="S28" s="34">
        <f t="shared" si="14"/>
        <v>147.5</v>
      </c>
      <c r="T28" s="34">
        <f t="shared" si="15"/>
        <v>122.5</v>
      </c>
      <c r="Y28" s="34">
        <f t="shared" si="16"/>
        <v>219</v>
      </c>
    </row>
    <row r="29" spans="1:25">
      <c r="A29" s="29">
        <v>45830</v>
      </c>
      <c r="B29" s="37">
        <v>35</v>
      </c>
      <c r="C29" s="34">
        <v>19</v>
      </c>
      <c r="D29" s="34">
        <f t="shared" si="17"/>
        <v>54</v>
      </c>
      <c r="E29" s="34">
        <v>64</v>
      </c>
      <c r="F29" s="34">
        <v>14</v>
      </c>
      <c r="G29" s="34">
        <f t="shared" si="8"/>
        <v>78</v>
      </c>
      <c r="H29" s="34">
        <v>10</v>
      </c>
      <c r="I29" s="34">
        <v>88</v>
      </c>
      <c r="J29" s="34">
        <v>13</v>
      </c>
      <c r="K29" s="35">
        <f t="shared" si="2"/>
        <v>88</v>
      </c>
      <c r="L29" s="35">
        <f t="shared" si="3"/>
        <v>101</v>
      </c>
      <c r="P29" s="34">
        <v>20</v>
      </c>
      <c r="Q29" s="34">
        <f t="shared" si="4"/>
        <v>189</v>
      </c>
      <c r="R29" s="34">
        <f t="shared" si="13"/>
        <v>20</v>
      </c>
      <c r="S29" s="34">
        <f t="shared" si="14"/>
        <v>88</v>
      </c>
      <c r="T29" s="34">
        <f t="shared" si="15"/>
        <v>151</v>
      </c>
      <c r="W29" s="34">
        <v>42</v>
      </c>
      <c r="Y29" s="34">
        <f t="shared" si="16"/>
        <v>209</v>
      </c>
    </row>
    <row r="30" spans="1:25">
      <c r="A30" s="29">
        <v>45837</v>
      </c>
      <c r="B30" s="37">
        <v>33</v>
      </c>
      <c r="C30" s="34">
        <v>20</v>
      </c>
      <c r="D30" s="34">
        <f t="shared" si="17"/>
        <v>53</v>
      </c>
      <c r="E30" s="34">
        <v>68</v>
      </c>
      <c r="F30" s="34">
        <v>6</v>
      </c>
      <c r="G30" s="34">
        <f t="shared" si="8"/>
        <v>74</v>
      </c>
      <c r="H30" s="34">
        <v>8</v>
      </c>
      <c r="I30" s="34">
        <v>96</v>
      </c>
      <c r="J30" s="34">
        <v>13</v>
      </c>
      <c r="K30" s="35">
        <f t="shared" si="2"/>
        <v>82</v>
      </c>
      <c r="L30" s="35">
        <f t="shared" si="3"/>
        <v>109</v>
      </c>
      <c r="M30" s="34">
        <v>4</v>
      </c>
      <c r="O30" s="34">
        <v>24</v>
      </c>
      <c r="P30" s="34">
        <v>25</v>
      </c>
      <c r="Q30" s="34">
        <f t="shared" si="4"/>
        <v>191</v>
      </c>
      <c r="R30" s="34">
        <f t="shared" si="13"/>
        <v>49</v>
      </c>
      <c r="S30" s="34">
        <f t="shared" si="14"/>
        <v>142</v>
      </c>
      <c r="T30" s="34">
        <f t="shared" si="15"/>
        <v>171.5</v>
      </c>
      <c r="Y30" s="34">
        <f t="shared" si="16"/>
        <v>240</v>
      </c>
    </row>
    <row r="31" spans="1:25">
      <c r="A31" s="29">
        <v>45844</v>
      </c>
      <c r="B31" s="37" t="s">
        <v>53</v>
      </c>
      <c r="H31" s="34">
        <v>6</v>
      </c>
      <c r="N31" s="34">
        <v>149</v>
      </c>
      <c r="Q31" s="34">
        <f t="shared" si="4"/>
        <v>6</v>
      </c>
      <c r="R31" s="34">
        <v>102</v>
      </c>
      <c r="S31" s="34">
        <f t="shared" si="14"/>
        <v>6</v>
      </c>
      <c r="T31" s="34">
        <f t="shared" si="15"/>
        <v>0</v>
      </c>
      <c r="Y31" s="34">
        <v>257</v>
      </c>
    </row>
    <row r="32" spans="1:25">
      <c r="A32" s="29">
        <v>45851</v>
      </c>
      <c r="B32" s="37">
        <v>41</v>
      </c>
      <c r="C32" s="34">
        <v>21</v>
      </c>
      <c r="D32" s="34">
        <f t="shared" si="17"/>
        <v>62</v>
      </c>
      <c r="E32" s="34">
        <v>84</v>
      </c>
      <c r="F32" s="34">
        <v>13</v>
      </c>
      <c r="G32" s="34">
        <f t="shared" si="8"/>
        <v>97</v>
      </c>
      <c r="H32" s="34">
        <v>10</v>
      </c>
      <c r="I32" s="34">
        <v>87</v>
      </c>
      <c r="J32" s="34">
        <v>12</v>
      </c>
      <c r="K32" s="35">
        <f t="shared" si="2"/>
        <v>107</v>
      </c>
      <c r="L32" s="35">
        <f t="shared" si="3"/>
        <v>99</v>
      </c>
      <c r="M32" s="34">
        <v>9</v>
      </c>
      <c r="O32" s="34">
        <v>41</v>
      </c>
      <c r="P32" s="34">
        <v>25</v>
      </c>
      <c r="Q32" s="34">
        <f t="shared" si="4"/>
        <v>206</v>
      </c>
      <c r="R32" s="34">
        <f t="shared" si="13"/>
        <v>66</v>
      </c>
      <c r="S32" s="34">
        <f t="shared" si="14"/>
        <v>209.5</v>
      </c>
      <c r="T32" s="34">
        <f t="shared" si="15"/>
        <v>161.5</v>
      </c>
      <c r="W32" s="34">
        <v>30</v>
      </c>
      <c r="X32" s="34">
        <v>31</v>
      </c>
      <c r="Y32" s="34">
        <f t="shared" si="16"/>
        <v>272</v>
      </c>
    </row>
    <row r="33" spans="1:25">
      <c r="A33" s="29">
        <v>45858</v>
      </c>
      <c r="B33" s="37">
        <v>40</v>
      </c>
      <c r="C33" s="34">
        <v>25</v>
      </c>
      <c r="D33" s="34">
        <f t="shared" si="17"/>
        <v>65</v>
      </c>
      <c r="E33" s="34">
        <v>68</v>
      </c>
      <c r="F33" s="34">
        <v>15</v>
      </c>
      <c r="G33" s="34">
        <f t="shared" si="8"/>
        <v>83</v>
      </c>
      <c r="H33" s="34">
        <v>9</v>
      </c>
      <c r="I33" s="34">
        <v>94</v>
      </c>
      <c r="J33" s="34">
        <v>15</v>
      </c>
      <c r="K33" s="35">
        <f t="shared" si="2"/>
        <v>92</v>
      </c>
      <c r="L33" s="35">
        <f>SUM(I33+J33)</f>
        <v>109</v>
      </c>
      <c r="M33" s="34">
        <v>3</v>
      </c>
      <c r="O33" s="34">
        <v>19</v>
      </c>
      <c r="P33" s="34">
        <v>27</v>
      </c>
      <c r="Q33" s="34">
        <f t="shared" si="4"/>
        <v>201</v>
      </c>
      <c r="R33" s="34">
        <f t="shared" si="13"/>
        <v>46</v>
      </c>
      <c r="S33" s="34">
        <f t="shared" si="14"/>
        <v>139.5</v>
      </c>
      <c r="T33" s="34">
        <f t="shared" si="15"/>
        <v>176.5</v>
      </c>
      <c r="W33" s="34">
        <v>21</v>
      </c>
      <c r="Y33" s="34">
        <f t="shared" si="16"/>
        <v>247</v>
      </c>
    </row>
    <row r="34" spans="1:25" ht="30.75">
      <c r="A34" s="29">
        <v>45865</v>
      </c>
      <c r="B34" s="39" t="s">
        <v>54</v>
      </c>
      <c r="C34" s="34">
        <v>15</v>
      </c>
      <c r="D34" s="34">
        <f t="shared" si="17"/>
        <v>15</v>
      </c>
      <c r="E34" s="34">
        <v>86</v>
      </c>
      <c r="F34" s="34">
        <v>13</v>
      </c>
      <c r="G34" s="34">
        <f t="shared" si="8"/>
        <v>99</v>
      </c>
      <c r="H34" s="34">
        <v>14</v>
      </c>
      <c r="I34" s="34">
        <v>83</v>
      </c>
      <c r="J34" s="34">
        <v>13</v>
      </c>
      <c r="K34" s="35">
        <f t="shared" si="2"/>
        <v>113</v>
      </c>
      <c r="L34" s="35">
        <f t="shared" si="3"/>
        <v>96</v>
      </c>
      <c r="M34" s="34">
        <v>4</v>
      </c>
      <c r="O34" s="34">
        <v>25</v>
      </c>
      <c r="P34" s="34">
        <v>44</v>
      </c>
      <c r="Q34" s="34">
        <v>177</v>
      </c>
      <c r="R34" s="34">
        <v>69</v>
      </c>
      <c r="S34" s="34">
        <v>83</v>
      </c>
      <c r="T34" s="34">
        <v>94</v>
      </c>
      <c r="Y34" s="34">
        <v>246</v>
      </c>
    </row>
    <row r="35" spans="1:25">
      <c r="A35" s="29">
        <v>45872</v>
      </c>
      <c r="B35" s="40" t="s">
        <v>55</v>
      </c>
      <c r="E35" s="34">
        <v>81</v>
      </c>
      <c r="F35" s="34">
        <v>9</v>
      </c>
      <c r="G35" s="34">
        <f t="shared" si="8"/>
        <v>90</v>
      </c>
      <c r="H35" s="34">
        <v>6</v>
      </c>
      <c r="I35" s="34">
        <v>124</v>
      </c>
      <c r="J35" s="34">
        <v>12</v>
      </c>
      <c r="K35" s="35">
        <f t="shared" si="2"/>
        <v>96</v>
      </c>
      <c r="L35" s="35">
        <f t="shared" si="3"/>
        <v>136</v>
      </c>
      <c r="O35" s="34">
        <v>28</v>
      </c>
      <c r="P35" s="34">
        <v>7</v>
      </c>
      <c r="Q35" s="34">
        <v>214</v>
      </c>
      <c r="R35" s="34">
        <v>35</v>
      </c>
      <c r="S35" s="34">
        <v>90</v>
      </c>
      <c r="T35" s="34">
        <v>124</v>
      </c>
      <c r="W35" s="34">
        <v>38</v>
      </c>
      <c r="Y35" s="34">
        <v>249</v>
      </c>
    </row>
    <row r="36" spans="1:25">
      <c r="A36" s="29">
        <v>45879</v>
      </c>
      <c r="B36" s="40">
        <v>37</v>
      </c>
      <c r="C36" s="34">
        <v>25</v>
      </c>
      <c r="D36" s="34">
        <f t="shared" si="17"/>
        <v>62</v>
      </c>
      <c r="E36" s="34">
        <v>98</v>
      </c>
      <c r="F36" s="34">
        <v>21</v>
      </c>
      <c r="G36" s="34">
        <f t="shared" si="8"/>
        <v>119</v>
      </c>
      <c r="H36" s="34">
        <v>3</v>
      </c>
      <c r="I36" s="34">
        <v>118</v>
      </c>
      <c r="J36" s="34">
        <v>5</v>
      </c>
      <c r="K36" s="35">
        <f t="shared" si="2"/>
        <v>122</v>
      </c>
      <c r="L36" s="35">
        <f t="shared" si="3"/>
        <v>123</v>
      </c>
      <c r="M36" s="34">
        <v>23</v>
      </c>
      <c r="O36" s="34">
        <v>38</v>
      </c>
      <c r="P36" s="34">
        <v>15</v>
      </c>
      <c r="Q36" s="34">
        <f t="shared" si="4"/>
        <v>245</v>
      </c>
      <c r="R36" s="34">
        <f t="shared" si="13"/>
        <v>53</v>
      </c>
      <c r="S36" s="34">
        <f t="shared" si="14"/>
        <v>217</v>
      </c>
      <c r="T36" s="34">
        <f>SUM(J2+I2)+(P2*1.8)</f>
        <v>208.60000000000002</v>
      </c>
      <c r="W36" s="34">
        <v>23</v>
      </c>
      <c r="Y36" s="34">
        <f t="shared" si="16"/>
        <v>298</v>
      </c>
    </row>
    <row r="37" spans="1:25">
      <c r="A37" s="29">
        <v>45886</v>
      </c>
      <c r="B37" s="41" t="s">
        <v>56</v>
      </c>
      <c r="F37" s="34">
        <v>19</v>
      </c>
      <c r="N37" s="34">
        <v>265</v>
      </c>
      <c r="Y37" s="34">
        <f t="shared" si="16"/>
        <v>0</v>
      </c>
    </row>
    <row r="38" spans="1:25">
      <c r="A38" s="29">
        <v>45893</v>
      </c>
      <c r="B38" s="40">
        <v>31</v>
      </c>
      <c r="C38" s="34">
        <v>27</v>
      </c>
      <c r="D38" s="34">
        <f t="shared" si="17"/>
        <v>58</v>
      </c>
      <c r="E38" s="34">
        <v>101</v>
      </c>
      <c r="F38" s="34">
        <v>15</v>
      </c>
      <c r="G38" s="34">
        <f t="shared" si="8"/>
        <v>116</v>
      </c>
      <c r="H38" s="34">
        <v>4</v>
      </c>
      <c r="I38" s="34">
        <v>121</v>
      </c>
      <c r="J38" s="34">
        <v>6</v>
      </c>
      <c r="K38" s="35">
        <f t="shared" si="2"/>
        <v>120</v>
      </c>
      <c r="L38" s="35">
        <f t="shared" si="3"/>
        <v>127</v>
      </c>
      <c r="M38" s="34">
        <v>9</v>
      </c>
      <c r="Q38" s="34">
        <f t="shared" si="4"/>
        <v>247</v>
      </c>
      <c r="S38" s="34">
        <f t="shared" si="14"/>
        <v>120</v>
      </c>
      <c r="Y38" s="34">
        <f t="shared" si="16"/>
        <v>247</v>
      </c>
    </row>
    <row r="39" spans="1:25">
      <c r="A39" s="29">
        <v>45900</v>
      </c>
      <c r="B39" s="40" t="s">
        <v>53</v>
      </c>
      <c r="F39" s="34">
        <v>9</v>
      </c>
      <c r="N39" s="34">
        <v>132</v>
      </c>
      <c r="Q39" s="34">
        <v>132</v>
      </c>
      <c r="Y39" s="34">
        <f t="shared" si="16"/>
        <v>132</v>
      </c>
    </row>
    <row r="40" spans="1:25">
      <c r="A40" s="29">
        <v>45907</v>
      </c>
      <c r="B40" s="34">
        <v>47</v>
      </c>
      <c r="C40" s="34">
        <v>26</v>
      </c>
      <c r="D40" s="34">
        <f t="shared" si="17"/>
        <v>73</v>
      </c>
      <c r="E40" s="34">
        <v>99</v>
      </c>
      <c r="F40" s="34">
        <v>12</v>
      </c>
      <c r="G40" s="34">
        <f t="shared" si="8"/>
        <v>111</v>
      </c>
      <c r="H40" s="34">
        <v>1</v>
      </c>
      <c r="I40" s="34">
        <v>95</v>
      </c>
      <c r="J40" s="34">
        <v>3</v>
      </c>
      <c r="K40" s="35">
        <f t="shared" si="2"/>
        <v>112</v>
      </c>
      <c r="L40" s="35">
        <f t="shared" si="3"/>
        <v>98</v>
      </c>
      <c r="M40" s="34" t="s">
        <v>57</v>
      </c>
      <c r="Q40" s="34">
        <f t="shared" si="4"/>
        <v>210</v>
      </c>
      <c r="S40" s="34">
        <f t="shared" si="14"/>
        <v>112</v>
      </c>
      <c r="X40" s="34">
        <v>29</v>
      </c>
      <c r="Y40" s="34">
        <f t="shared" si="16"/>
        <v>210</v>
      </c>
    </row>
    <row r="41" spans="1:25">
      <c r="A41" s="29">
        <v>45914</v>
      </c>
      <c r="B41" s="34">
        <v>37</v>
      </c>
      <c r="C41" s="34">
        <v>15</v>
      </c>
      <c r="D41" s="34">
        <f t="shared" si="17"/>
        <v>52</v>
      </c>
      <c r="E41" s="34">
        <v>99</v>
      </c>
      <c r="F41" s="34">
        <v>14</v>
      </c>
      <c r="G41" s="34">
        <f t="shared" si="8"/>
        <v>113</v>
      </c>
      <c r="H41" s="34">
        <v>2</v>
      </c>
      <c r="I41" s="34">
        <v>114</v>
      </c>
      <c r="J41" s="34">
        <v>7</v>
      </c>
      <c r="K41" s="35">
        <f t="shared" si="2"/>
        <v>115</v>
      </c>
      <c r="L41" s="35">
        <f t="shared" si="3"/>
        <v>121</v>
      </c>
      <c r="M41" s="34">
        <v>14</v>
      </c>
      <c r="Q41" s="34">
        <f t="shared" si="4"/>
        <v>236</v>
      </c>
      <c r="S41" s="34">
        <f t="shared" si="14"/>
        <v>115</v>
      </c>
      <c r="W41" s="34">
        <v>30</v>
      </c>
      <c r="X41" s="34">
        <v>30</v>
      </c>
      <c r="Y41" s="34">
        <f t="shared" si="16"/>
        <v>236</v>
      </c>
    </row>
    <row r="42" spans="1:25">
      <c r="A42" s="29">
        <v>45921</v>
      </c>
      <c r="B42" s="34">
        <v>47</v>
      </c>
      <c r="C42" s="34">
        <v>22</v>
      </c>
      <c r="D42" s="34">
        <f t="shared" si="17"/>
        <v>69</v>
      </c>
      <c r="E42" s="34">
        <v>99</v>
      </c>
      <c r="F42" s="34">
        <v>5</v>
      </c>
      <c r="G42" s="34">
        <f t="shared" si="8"/>
        <v>104</v>
      </c>
      <c r="H42" s="34">
        <v>5</v>
      </c>
      <c r="I42" s="34">
        <v>124</v>
      </c>
      <c r="J42" s="34">
        <v>7</v>
      </c>
      <c r="K42" s="35">
        <f t="shared" si="2"/>
        <v>109</v>
      </c>
      <c r="L42" s="35">
        <f t="shared" si="3"/>
        <v>131</v>
      </c>
      <c r="M42" s="34">
        <v>11</v>
      </c>
      <c r="Q42" s="34">
        <f t="shared" si="4"/>
        <v>240</v>
      </c>
      <c r="S42" s="34">
        <f t="shared" si="14"/>
        <v>109</v>
      </c>
      <c r="W42" s="34">
        <v>20</v>
      </c>
      <c r="X42" s="34">
        <v>29</v>
      </c>
      <c r="Y42" s="34">
        <f t="shared" si="16"/>
        <v>240</v>
      </c>
    </row>
    <row r="43" spans="1:25">
      <c r="A43" s="29">
        <v>45928</v>
      </c>
      <c r="B43" s="34">
        <v>42</v>
      </c>
      <c r="C43" s="34">
        <v>22</v>
      </c>
      <c r="D43" s="34">
        <f t="shared" si="17"/>
        <v>64</v>
      </c>
      <c r="E43" s="34">
        <v>74</v>
      </c>
      <c r="F43" s="34">
        <v>10</v>
      </c>
      <c r="G43" s="34">
        <f t="shared" si="8"/>
        <v>84</v>
      </c>
      <c r="H43" s="34">
        <v>3</v>
      </c>
      <c r="I43" s="34">
        <v>102</v>
      </c>
      <c r="J43" s="34">
        <v>7</v>
      </c>
      <c r="K43" s="35">
        <f t="shared" si="2"/>
        <v>87</v>
      </c>
      <c r="L43" s="35">
        <f t="shared" si="3"/>
        <v>109</v>
      </c>
      <c r="M43" s="34">
        <v>9</v>
      </c>
      <c r="Q43" s="34">
        <f t="shared" si="4"/>
        <v>196</v>
      </c>
      <c r="S43" s="34">
        <f t="shared" si="14"/>
        <v>87</v>
      </c>
      <c r="W43" s="34">
        <v>15</v>
      </c>
      <c r="X43" s="34">
        <v>18</v>
      </c>
      <c r="Y43" s="34">
        <f t="shared" si="16"/>
        <v>196</v>
      </c>
    </row>
    <row r="44" spans="1:25">
      <c r="A44" s="29">
        <v>45935</v>
      </c>
      <c r="B44" s="34">
        <v>36</v>
      </c>
      <c r="C44" s="34">
        <v>23</v>
      </c>
      <c r="D44" s="34">
        <f t="shared" si="17"/>
        <v>59</v>
      </c>
      <c r="E44" s="34">
        <v>87</v>
      </c>
      <c r="F44" s="34">
        <v>12</v>
      </c>
      <c r="G44" s="34">
        <f t="shared" si="8"/>
        <v>99</v>
      </c>
      <c r="H44" s="34">
        <v>4</v>
      </c>
      <c r="I44" s="34">
        <v>125</v>
      </c>
      <c r="J44" s="34">
        <v>7</v>
      </c>
      <c r="K44" s="35">
        <f t="shared" si="2"/>
        <v>103</v>
      </c>
      <c r="L44" s="35">
        <f t="shared" si="3"/>
        <v>132</v>
      </c>
      <c r="M44" s="34" t="s">
        <v>57</v>
      </c>
      <c r="Q44" s="34">
        <f t="shared" si="4"/>
        <v>235</v>
      </c>
      <c r="S44" s="34">
        <f t="shared" si="14"/>
        <v>103</v>
      </c>
      <c r="W44" s="34">
        <v>20</v>
      </c>
      <c r="X44" s="34">
        <v>27</v>
      </c>
      <c r="Y44" s="34">
        <f t="shared" si="16"/>
        <v>235</v>
      </c>
    </row>
    <row r="45" spans="1:25">
      <c r="A45" s="29">
        <v>45942</v>
      </c>
      <c r="B45" s="34" t="s">
        <v>58</v>
      </c>
      <c r="C45" s="34">
        <v>9</v>
      </c>
      <c r="D45" s="34">
        <f t="shared" si="17"/>
        <v>9</v>
      </c>
      <c r="E45" s="34">
        <v>78</v>
      </c>
      <c r="G45" s="34">
        <f t="shared" si="8"/>
        <v>78</v>
      </c>
      <c r="H45" s="34">
        <v>6</v>
      </c>
      <c r="I45" s="34">
        <v>61</v>
      </c>
      <c r="J45" s="34">
        <v>3</v>
      </c>
      <c r="K45" s="35">
        <f t="shared" si="2"/>
        <v>84</v>
      </c>
      <c r="L45" s="35">
        <f t="shared" si="3"/>
        <v>64</v>
      </c>
      <c r="M45" s="34">
        <v>6</v>
      </c>
      <c r="Q45" s="34">
        <f t="shared" si="4"/>
        <v>148</v>
      </c>
      <c r="S45" s="34">
        <f t="shared" si="14"/>
        <v>84</v>
      </c>
      <c r="Y45" s="34">
        <f t="shared" si="16"/>
        <v>148</v>
      </c>
    </row>
    <row r="46" spans="1:25">
      <c r="A46" s="29">
        <v>45949</v>
      </c>
      <c r="B46" s="34">
        <v>25</v>
      </c>
      <c r="C46" s="34">
        <v>15</v>
      </c>
      <c r="D46" s="34">
        <f t="shared" si="17"/>
        <v>40</v>
      </c>
      <c r="E46" s="34">
        <v>64</v>
      </c>
      <c r="F46" s="34">
        <v>17</v>
      </c>
      <c r="G46" s="34">
        <f t="shared" si="8"/>
        <v>81</v>
      </c>
      <c r="H46" s="34">
        <v>1</v>
      </c>
      <c r="I46" s="34">
        <v>117</v>
      </c>
      <c r="J46" s="34">
        <v>7</v>
      </c>
      <c r="K46" s="35">
        <f t="shared" si="2"/>
        <v>82</v>
      </c>
      <c r="L46" s="35">
        <f t="shared" si="3"/>
        <v>124</v>
      </c>
      <c r="M46" s="34">
        <v>10</v>
      </c>
      <c r="Q46" s="34">
        <f t="shared" si="4"/>
        <v>206</v>
      </c>
      <c r="S46" s="34">
        <f t="shared" si="14"/>
        <v>82</v>
      </c>
      <c r="W46" s="34">
        <v>18</v>
      </c>
      <c r="X46" s="34">
        <v>16</v>
      </c>
      <c r="Y46" s="34">
        <f t="shared" si="16"/>
        <v>206</v>
      </c>
    </row>
    <row r="47" spans="1:25">
      <c r="A47" s="29">
        <v>45956</v>
      </c>
      <c r="B47" s="34">
        <v>32</v>
      </c>
      <c r="C47" s="34">
        <v>23</v>
      </c>
      <c r="D47" s="34">
        <f t="shared" si="17"/>
        <v>55</v>
      </c>
      <c r="E47" s="34">
        <v>98</v>
      </c>
      <c r="F47" s="34">
        <v>10</v>
      </c>
      <c r="G47" s="34">
        <f t="shared" si="8"/>
        <v>108</v>
      </c>
      <c r="H47" s="34">
        <v>4</v>
      </c>
      <c r="I47" s="34">
        <v>90</v>
      </c>
      <c r="J47" s="34">
        <v>7</v>
      </c>
      <c r="K47" s="35">
        <f t="shared" si="2"/>
        <v>112</v>
      </c>
      <c r="L47" s="35">
        <f t="shared" si="3"/>
        <v>97</v>
      </c>
      <c r="M47" s="34">
        <v>11</v>
      </c>
      <c r="Q47" s="34">
        <f t="shared" si="4"/>
        <v>209</v>
      </c>
      <c r="R47" s="34">
        <v>0</v>
      </c>
      <c r="S47" s="34">
        <f t="shared" si="14"/>
        <v>112</v>
      </c>
      <c r="Y47" s="34">
        <f t="shared" si="16"/>
        <v>209</v>
      </c>
    </row>
    <row r="48" spans="1:25">
      <c r="A48" s="29">
        <v>45963</v>
      </c>
      <c r="B48" s="34">
        <v>50</v>
      </c>
      <c r="C48" s="34">
        <v>22</v>
      </c>
      <c r="D48" s="34">
        <f t="shared" si="17"/>
        <v>72</v>
      </c>
      <c r="E48" s="34">
        <v>112</v>
      </c>
      <c r="F48" s="34">
        <v>13</v>
      </c>
      <c r="G48" s="34">
        <f t="shared" si="8"/>
        <v>125</v>
      </c>
      <c r="H48" s="34">
        <v>4</v>
      </c>
      <c r="I48" s="34">
        <v>102</v>
      </c>
      <c r="J48" s="34">
        <v>5</v>
      </c>
      <c r="K48" s="35">
        <f t="shared" si="2"/>
        <v>129</v>
      </c>
      <c r="L48" s="35">
        <f t="shared" si="3"/>
        <v>107</v>
      </c>
      <c r="M48" s="34" t="s">
        <v>57</v>
      </c>
      <c r="Q48" s="34">
        <f t="shared" si="4"/>
        <v>236</v>
      </c>
      <c r="R48" s="34">
        <v>0</v>
      </c>
      <c r="S48" s="34">
        <f t="shared" si="14"/>
        <v>129</v>
      </c>
      <c r="Y48" s="34">
        <f t="shared" si="16"/>
        <v>236</v>
      </c>
    </row>
    <row r="49" spans="1:41">
      <c r="A49" s="29">
        <v>45970</v>
      </c>
      <c r="B49" s="34">
        <v>50</v>
      </c>
      <c r="C49" s="34">
        <v>21</v>
      </c>
      <c r="D49" s="34">
        <f t="shared" si="17"/>
        <v>71</v>
      </c>
      <c r="E49" s="34">
        <v>100</v>
      </c>
      <c r="F49" s="34">
        <v>14</v>
      </c>
      <c r="G49" s="34">
        <f t="shared" si="8"/>
        <v>114</v>
      </c>
      <c r="H49" s="34">
        <v>4</v>
      </c>
      <c r="I49" s="34">
        <v>108</v>
      </c>
      <c r="J49" s="34">
        <v>5</v>
      </c>
      <c r="K49" s="35">
        <f t="shared" si="2"/>
        <v>118</v>
      </c>
      <c r="L49" s="35">
        <f t="shared" si="3"/>
        <v>113</v>
      </c>
      <c r="M49" s="34">
        <v>9</v>
      </c>
      <c r="Q49" s="34">
        <f t="shared" si="4"/>
        <v>231</v>
      </c>
      <c r="R49" s="34">
        <v>0</v>
      </c>
      <c r="S49" s="34">
        <f t="shared" si="14"/>
        <v>118</v>
      </c>
      <c r="W49" s="34">
        <v>15</v>
      </c>
      <c r="X49" s="34">
        <v>16</v>
      </c>
      <c r="Y49" s="34">
        <f t="shared" si="16"/>
        <v>231</v>
      </c>
    </row>
    <row r="50" spans="1:41">
      <c r="A50" s="29">
        <v>45977</v>
      </c>
      <c r="B50" s="34">
        <v>38</v>
      </c>
      <c r="C50" s="34">
        <v>11</v>
      </c>
      <c r="D50" s="34">
        <f t="shared" si="17"/>
        <v>49</v>
      </c>
      <c r="E50" s="34">
        <v>111</v>
      </c>
      <c r="F50" s="34">
        <v>14</v>
      </c>
      <c r="G50" s="34">
        <f t="shared" si="8"/>
        <v>125</v>
      </c>
      <c r="H50" s="34">
        <v>2</v>
      </c>
      <c r="I50" s="34">
        <v>101</v>
      </c>
      <c r="J50" s="34">
        <v>6</v>
      </c>
      <c r="K50" s="35">
        <f t="shared" si="2"/>
        <v>127</v>
      </c>
      <c r="L50" s="35">
        <f t="shared" si="3"/>
        <v>107</v>
      </c>
      <c r="M50" s="34">
        <v>13</v>
      </c>
      <c r="Q50" s="34">
        <f t="shared" si="4"/>
        <v>234</v>
      </c>
      <c r="R50" s="34">
        <v>0</v>
      </c>
      <c r="S50" s="34">
        <f t="shared" si="14"/>
        <v>127</v>
      </c>
      <c r="W50" s="34">
        <v>20</v>
      </c>
      <c r="X50" s="34">
        <v>30</v>
      </c>
      <c r="Y50" s="34">
        <f t="shared" si="16"/>
        <v>234</v>
      </c>
    </row>
    <row r="51" spans="1:41">
      <c r="A51" s="29">
        <v>45984</v>
      </c>
      <c r="B51" s="34" t="s">
        <v>53</v>
      </c>
      <c r="D51" s="34">
        <f t="shared" si="17"/>
        <v>0</v>
      </c>
      <c r="G51" s="34">
        <f t="shared" si="8"/>
        <v>0</v>
      </c>
      <c r="M51" s="34" t="s">
        <v>59</v>
      </c>
      <c r="N51" s="34">
        <v>197</v>
      </c>
      <c r="Q51" s="34">
        <f t="shared" si="4"/>
        <v>0</v>
      </c>
      <c r="R51" s="34">
        <v>0</v>
      </c>
      <c r="S51" s="34">
        <f t="shared" si="14"/>
        <v>0</v>
      </c>
      <c r="Y51" s="34">
        <f t="shared" si="16"/>
        <v>0</v>
      </c>
    </row>
    <row r="52" spans="1:41">
      <c r="A52" s="29">
        <v>45991</v>
      </c>
      <c r="B52" s="34">
        <v>34</v>
      </c>
      <c r="C52" s="34">
        <v>20</v>
      </c>
      <c r="D52" s="34">
        <f t="shared" si="17"/>
        <v>54</v>
      </c>
      <c r="E52" s="34">
        <v>93</v>
      </c>
      <c r="F52" s="34">
        <v>22</v>
      </c>
      <c r="G52" s="34">
        <f t="shared" si="8"/>
        <v>115</v>
      </c>
      <c r="H52" s="34">
        <v>1</v>
      </c>
      <c r="I52" s="34">
        <v>89</v>
      </c>
      <c r="J52" s="34">
        <v>7</v>
      </c>
      <c r="K52" s="35">
        <f t="shared" si="2"/>
        <v>116</v>
      </c>
      <c r="L52" s="35">
        <f t="shared" si="3"/>
        <v>96</v>
      </c>
      <c r="M52" s="34">
        <v>7</v>
      </c>
      <c r="Q52" s="34">
        <f t="shared" si="4"/>
        <v>212</v>
      </c>
      <c r="R52" s="34">
        <v>0</v>
      </c>
      <c r="S52" s="34">
        <f t="shared" si="14"/>
        <v>116</v>
      </c>
      <c r="W52" s="34">
        <v>15</v>
      </c>
      <c r="X52" s="34">
        <v>22</v>
      </c>
      <c r="Y52" s="34">
        <f t="shared" si="16"/>
        <v>212</v>
      </c>
    </row>
    <row r="53" spans="1:41">
      <c r="A53" s="29">
        <v>45998</v>
      </c>
      <c r="B53" s="34">
        <v>49</v>
      </c>
      <c r="C53" s="34">
        <v>18</v>
      </c>
      <c r="D53" s="34">
        <f t="shared" si="17"/>
        <v>67</v>
      </c>
      <c r="E53" s="34">
        <v>111</v>
      </c>
      <c r="F53" s="34">
        <v>14</v>
      </c>
      <c r="G53" s="34">
        <f t="shared" si="8"/>
        <v>125</v>
      </c>
      <c r="H53" s="34">
        <v>4</v>
      </c>
      <c r="I53" s="34">
        <v>108</v>
      </c>
      <c r="J53" s="34">
        <v>9</v>
      </c>
      <c r="K53" s="35">
        <f t="shared" si="2"/>
        <v>129</v>
      </c>
      <c r="L53" s="35">
        <f t="shared" si="3"/>
        <v>117</v>
      </c>
      <c r="M53" s="34" t="s">
        <v>60</v>
      </c>
      <c r="Q53" s="34">
        <f t="shared" si="4"/>
        <v>246</v>
      </c>
      <c r="R53" s="34">
        <v>0</v>
      </c>
      <c r="S53" s="34">
        <f t="shared" si="14"/>
        <v>129</v>
      </c>
      <c r="Y53" s="34">
        <f t="shared" si="16"/>
        <v>246</v>
      </c>
    </row>
    <row r="54" spans="1:41">
      <c r="A54" s="29">
        <v>46005</v>
      </c>
      <c r="B54" s="34">
        <v>47</v>
      </c>
      <c r="C54" s="34">
        <v>24</v>
      </c>
      <c r="D54" s="34">
        <f t="shared" si="17"/>
        <v>71</v>
      </c>
      <c r="E54" s="34">
        <v>131</v>
      </c>
      <c r="F54" s="34">
        <v>23</v>
      </c>
      <c r="G54" s="34">
        <f t="shared" si="8"/>
        <v>154</v>
      </c>
      <c r="H54" s="34">
        <v>5</v>
      </c>
      <c r="I54" s="34">
        <v>142</v>
      </c>
      <c r="J54" s="34">
        <v>5</v>
      </c>
      <c r="K54" s="35">
        <f t="shared" si="2"/>
        <v>159</v>
      </c>
      <c r="L54" s="35">
        <f t="shared" si="3"/>
        <v>147</v>
      </c>
      <c r="M54" s="34" t="s">
        <v>61</v>
      </c>
      <c r="Q54" s="34">
        <f t="shared" si="4"/>
        <v>306</v>
      </c>
      <c r="R54" s="34">
        <v>0</v>
      </c>
      <c r="S54" s="34">
        <f t="shared" si="14"/>
        <v>159</v>
      </c>
      <c r="Y54" s="34">
        <f t="shared" si="16"/>
        <v>306</v>
      </c>
    </row>
    <row r="55" spans="1:41">
      <c r="A55" s="29">
        <v>46012</v>
      </c>
      <c r="B55" s="34">
        <v>38</v>
      </c>
      <c r="C55" s="34">
        <v>7</v>
      </c>
      <c r="D55" s="34">
        <f t="shared" si="17"/>
        <v>45</v>
      </c>
      <c r="G55" s="34">
        <f t="shared" si="8"/>
        <v>0</v>
      </c>
      <c r="H55" s="34">
        <v>3</v>
      </c>
      <c r="J55" s="34">
        <v>6</v>
      </c>
      <c r="M55" s="34">
        <v>9</v>
      </c>
      <c r="Q55" s="34">
        <f t="shared" si="4"/>
        <v>9</v>
      </c>
      <c r="S55" s="34">
        <f t="shared" si="14"/>
        <v>3</v>
      </c>
      <c r="Y55" s="34">
        <f t="shared" si="16"/>
        <v>9</v>
      </c>
    </row>
    <row r="56" spans="1:41">
      <c r="A56" s="29" t="s">
        <v>62</v>
      </c>
      <c r="B56" s="34" t="s">
        <v>63</v>
      </c>
      <c r="I56" s="34">
        <v>292</v>
      </c>
      <c r="J56" s="34">
        <v>2</v>
      </c>
    </row>
    <row r="57" spans="1:41">
      <c r="A57" s="29">
        <v>46015.75</v>
      </c>
      <c r="B57" s="34" t="s">
        <v>64</v>
      </c>
      <c r="E57" s="34">
        <v>215</v>
      </c>
      <c r="F57" s="34">
        <v>18</v>
      </c>
      <c r="G57" s="34">
        <v>233</v>
      </c>
      <c r="H57" s="34">
        <v>2</v>
      </c>
    </row>
    <row r="58" spans="1:41">
      <c r="A58" s="29">
        <v>46019</v>
      </c>
      <c r="B58" s="34" t="s">
        <v>53</v>
      </c>
      <c r="D58" s="34">
        <f t="shared" si="17"/>
        <v>0</v>
      </c>
      <c r="G58" s="34">
        <f t="shared" si="8"/>
        <v>0</v>
      </c>
      <c r="J58" s="34">
        <v>1</v>
      </c>
      <c r="N58" s="34">
        <v>134</v>
      </c>
      <c r="Q58" s="34">
        <f t="shared" si="4"/>
        <v>1</v>
      </c>
      <c r="S58" s="34">
        <f t="shared" si="14"/>
        <v>0</v>
      </c>
      <c r="Y58" s="34">
        <f t="shared" si="16"/>
        <v>1</v>
      </c>
    </row>
    <row r="59" spans="1:41">
      <c r="A59" s="29"/>
    </row>
    <row r="60" spans="1:41">
      <c r="A60" s="29"/>
    </row>
    <row r="61" spans="1:41">
      <c r="A61" s="29"/>
    </row>
    <row r="62" spans="1:41">
      <c r="A62" s="29"/>
    </row>
    <row r="63" spans="1:41" s="31" customFormat="1">
      <c r="A63" s="31" t="s">
        <v>65</v>
      </c>
      <c r="B63" s="42">
        <f>AVERAGE(B2:B22)</f>
        <v>35.4</v>
      </c>
      <c r="C63" s="42">
        <f t="shared" ref="B63:J63" si="18">AVERAGE(C2:C22)</f>
        <v>20</v>
      </c>
      <c r="D63" s="42">
        <f t="shared" si="18"/>
        <v>55.857142857142854</v>
      </c>
      <c r="E63" s="42">
        <f t="shared" si="18"/>
        <v>92.9375</v>
      </c>
      <c r="F63" s="42">
        <f t="shared" si="18"/>
        <v>12.8125</v>
      </c>
      <c r="G63" s="42">
        <f t="shared" si="18"/>
        <v>105.6875</v>
      </c>
      <c r="H63" s="42">
        <f t="shared" si="18"/>
        <v>4.1875</v>
      </c>
      <c r="I63" s="42">
        <f t="shared" si="18"/>
        <v>94.0625</v>
      </c>
      <c r="J63" s="42">
        <f t="shared" si="18"/>
        <v>7.5</v>
      </c>
      <c r="K63" s="42">
        <f>AVERAGE(K2:K54)</f>
        <v>110.81395348837209</v>
      </c>
      <c r="L63" s="42">
        <f>AVERAGE(L2:L54)</f>
        <v>106.46511627906976</v>
      </c>
      <c r="M63" s="42">
        <f t="shared" ref="M63:T63" si="19">AVERAGE(M2:M46)</f>
        <v>13.428571428571429</v>
      </c>
      <c r="N63" s="42">
        <f t="shared" si="19"/>
        <v>138.125</v>
      </c>
      <c r="O63" s="42">
        <f t="shared" si="19"/>
        <v>28.464285714285715</v>
      </c>
      <c r="P63" s="42">
        <f t="shared" si="19"/>
        <v>20.142857142857142</v>
      </c>
      <c r="Q63" s="42">
        <f t="shared" si="19"/>
        <v>205.86842105263159</v>
      </c>
      <c r="R63" s="42">
        <f t="shared" si="19"/>
        <v>45.342857142857142</v>
      </c>
      <c r="S63" s="42">
        <f t="shared" si="19"/>
        <v>144.76666666666665</v>
      </c>
      <c r="T63" s="42">
        <f t="shared" si="19"/>
        <v>143.6103448275862</v>
      </c>
      <c r="U63" s="42"/>
      <c r="V63" s="42"/>
      <c r="W63" s="42">
        <f t="shared" ref="M63:Y63" si="20">AVERAGE(W2:W22)</f>
        <v>27.357142857142858</v>
      </c>
      <c r="X63" s="42">
        <f t="shared" si="20"/>
        <v>19.2</v>
      </c>
      <c r="Y63" s="42">
        <f t="shared" si="20"/>
        <v>220.38095238095238</v>
      </c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D44C-9AB1-4D94-8A68-76B30F2AFBEE}">
  <dimension ref="A1:AO60"/>
  <sheetViews>
    <sheetView tabSelected="1" topLeftCell="A9" workbookViewId="0">
      <selection activeCell="H28" sqref="H28"/>
    </sheetView>
  </sheetViews>
  <sheetFormatPr defaultRowHeight="15"/>
  <cols>
    <col min="1" max="1" width="10.42578125" bestFit="1" customWidth="1"/>
  </cols>
  <sheetData>
    <row r="1" spans="1:41" ht="91.5">
      <c r="A1" s="32"/>
      <c r="B1" s="32" t="s">
        <v>26</v>
      </c>
      <c r="C1" s="32" t="s">
        <v>27</v>
      </c>
      <c r="D1" s="32" t="s">
        <v>4</v>
      </c>
      <c r="E1" s="32" t="s">
        <v>28</v>
      </c>
      <c r="F1" s="32" t="s">
        <v>29</v>
      </c>
      <c r="G1" s="32" t="s">
        <v>30</v>
      </c>
      <c r="H1" s="32" t="s">
        <v>31</v>
      </c>
      <c r="I1" s="32" t="s">
        <v>32</v>
      </c>
      <c r="J1" s="32" t="s">
        <v>33</v>
      </c>
      <c r="K1" s="33" t="s">
        <v>34</v>
      </c>
      <c r="L1" s="33" t="s">
        <v>35</v>
      </c>
      <c r="M1" s="32" t="s">
        <v>36</v>
      </c>
      <c r="N1" s="32" t="s">
        <v>37</v>
      </c>
      <c r="O1" s="32" t="s">
        <v>38</v>
      </c>
      <c r="P1" s="32" t="s">
        <v>39</v>
      </c>
      <c r="Q1" s="32" t="s">
        <v>40</v>
      </c>
      <c r="R1" s="32" t="s">
        <v>41</v>
      </c>
      <c r="S1" s="32" t="s">
        <v>42</v>
      </c>
      <c r="T1" s="32" t="s">
        <v>43</v>
      </c>
      <c r="U1" s="32"/>
      <c r="V1" s="32"/>
      <c r="W1" s="32" t="s">
        <v>44</v>
      </c>
      <c r="X1" s="32" t="s">
        <v>45</v>
      </c>
      <c r="Y1" s="32" t="s">
        <v>46</v>
      </c>
    </row>
    <row r="2" spans="1:41">
      <c r="K2" s="45"/>
      <c r="L2" s="45"/>
    </row>
    <row r="3" spans="1:41" s="30" customFormat="1">
      <c r="A3" s="29">
        <v>46026</v>
      </c>
      <c r="B3" s="34">
        <v>35</v>
      </c>
      <c r="C3" s="34">
        <v>7</v>
      </c>
      <c r="D3" s="34">
        <f t="shared" ref="D3" si="0">SUM(B3:C3)</f>
        <v>42</v>
      </c>
      <c r="E3" s="34">
        <v>107</v>
      </c>
      <c r="F3" s="34">
        <v>13</v>
      </c>
      <c r="G3" s="34">
        <f t="shared" ref="G3" si="1">SUM(E3:F3)</f>
        <v>120</v>
      </c>
      <c r="H3" s="34">
        <v>5</v>
      </c>
      <c r="I3" s="34">
        <v>119</v>
      </c>
      <c r="J3" s="34">
        <v>4</v>
      </c>
      <c r="K3" s="35">
        <f t="shared" ref="K3" si="2">SUM(E3+F3+H3)</f>
        <v>125</v>
      </c>
      <c r="L3" s="35">
        <f t="shared" ref="L3" si="3">SUM(I3+J3)</f>
        <v>123</v>
      </c>
      <c r="M3" s="34" t="s">
        <v>66</v>
      </c>
      <c r="N3" s="34"/>
      <c r="O3" s="34"/>
      <c r="P3" s="34"/>
      <c r="Q3" s="34">
        <f>SUM(G3+H3+I3+J3)</f>
        <v>248</v>
      </c>
      <c r="R3" s="34">
        <f t="shared" ref="R3" si="4">SUM(O3+P3)</f>
        <v>0</v>
      </c>
      <c r="S3" s="34">
        <f t="shared" ref="S3" si="5">SUM(G3+H3)+(O3*2.5)</f>
        <v>125</v>
      </c>
      <c r="T3" s="34"/>
      <c r="U3" s="34"/>
      <c r="V3" s="34"/>
      <c r="W3" s="34"/>
      <c r="X3" s="34">
        <v>25</v>
      </c>
      <c r="Y3" s="34">
        <f t="shared" ref="Y3" si="6">SUM(R3+Q3)</f>
        <v>248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</row>
    <row r="4" spans="1:41" s="30" customFormat="1">
      <c r="A4" s="29">
        <v>46033</v>
      </c>
      <c r="B4" s="30">
        <v>47</v>
      </c>
      <c r="C4" s="30">
        <v>19</v>
      </c>
      <c r="D4" s="30">
        <v>66</v>
      </c>
      <c r="E4" s="30">
        <v>110</v>
      </c>
      <c r="F4" s="30">
        <v>11</v>
      </c>
      <c r="G4" s="30">
        <v>117</v>
      </c>
      <c r="H4" s="30">
        <v>8</v>
      </c>
      <c r="I4" s="30">
        <v>86</v>
      </c>
      <c r="J4" s="30">
        <v>5</v>
      </c>
      <c r="K4" s="46">
        <v>125</v>
      </c>
      <c r="L4" s="46">
        <v>91</v>
      </c>
      <c r="M4" s="30">
        <v>12</v>
      </c>
      <c r="Q4" s="34">
        <f t="shared" ref="Q4:Q33" si="7">SUM(G4+H4+I4+J4)</f>
        <v>216</v>
      </c>
      <c r="X4" s="30">
        <v>20</v>
      </c>
    </row>
    <row r="5" spans="1:41" s="30" customFormat="1">
      <c r="A5" s="29">
        <v>38735</v>
      </c>
      <c r="B5" s="44" t="s">
        <v>67</v>
      </c>
      <c r="F5" s="30">
        <v>19</v>
      </c>
      <c r="K5" s="46"/>
      <c r="L5" s="46"/>
      <c r="M5" s="30">
        <v>2</v>
      </c>
      <c r="Q5" s="34"/>
    </row>
    <row r="6" spans="1:41" s="30" customFormat="1">
      <c r="A6" s="29">
        <v>38742</v>
      </c>
      <c r="B6" s="30">
        <v>40</v>
      </c>
      <c r="C6" s="30">
        <v>18</v>
      </c>
      <c r="D6" s="30">
        <v>58</v>
      </c>
      <c r="E6" s="30">
        <v>89</v>
      </c>
      <c r="F6" s="30">
        <v>12</v>
      </c>
      <c r="G6" s="30">
        <v>101</v>
      </c>
      <c r="H6" s="30">
        <v>3</v>
      </c>
      <c r="I6" s="30">
        <v>89</v>
      </c>
      <c r="J6" s="30">
        <v>3</v>
      </c>
      <c r="K6" s="46">
        <v>104</v>
      </c>
      <c r="L6" s="46">
        <v>94</v>
      </c>
      <c r="M6" s="30">
        <v>11</v>
      </c>
      <c r="Q6" s="34">
        <f t="shared" si="7"/>
        <v>196</v>
      </c>
    </row>
    <row r="7" spans="1:41" s="30" customFormat="1">
      <c r="A7" s="29">
        <v>46054</v>
      </c>
      <c r="B7" s="30">
        <v>31</v>
      </c>
      <c r="C7" s="30">
        <v>6</v>
      </c>
      <c r="D7" s="30">
        <v>37</v>
      </c>
      <c r="E7" s="30">
        <v>111</v>
      </c>
      <c r="F7" s="30">
        <v>13</v>
      </c>
      <c r="G7" s="30">
        <v>124</v>
      </c>
      <c r="H7" s="30">
        <v>2</v>
      </c>
      <c r="I7" s="30">
        <v>79</v>
      </c>
      <c r="J7" s="30">
        <v>3</v>
      </c>
      <c r="K7" s="46">
        <v>126</v>
      </c>
      <c r="L7" s="46">
        <v>82</v>
      </c>
      <c r="Q7" s="34">
        <f t="shared" si="7"/>
        <v>208</v>
      </c>
      <c r="X7" s="30">
        <v>17</v>
      </c>
    </row>
    <row r="8" spans="1:41" s="30" customFormat="1">
      <c r="A8" s="29">
        <v>46061</v>
      </c>
      <c r="B8" s="30">
        <v>45</v>
      </c>
      <c r="C8" s="30">
        <v>16</v>
      </c>
      <c r="D8" s="30">
        <v>61</v>
      </c>
      <c r="E8" s="30">
        <v>94</v>
      </c>
      <c r="F8" s="30">
        <v>12</v>
      </c>
      <c r="G8" s="30">
        <v>106</v>
      </c>
      <c r="H8" s="30">
        <v>2</v>
      </c>
      <c r="I8" s="30">
        <v>94</v>
      </c>
      <c r="J8" s="30">
        <v>4</v>
      </c>
      <c r="K8" s="46">
        <v>108</v>
      </c>
      <c r="L8" s="46">
        <v>98</v>
      </c>
      <c r="M8" s="30">
        <v>16</v>
      </c>
      <c r="Q8" s="34">
        <f t="shared" si="7"/>
        <v>206</v>
      </c>
    </row>
    <row r="9" spans="1:41" s="30" customFormat="1">
      <c r="A9" s="29">
        <v>46068</v>
      </c>
      <c r="B9" s="44" t="s">
        <v>68</v>
      </c>
      <c r="K9" s="46"/>
      <c r="L9" s="46"/>
      <c r="N9" s="30">
        <v>108</v>
      </c>
      <c r="Q9" s="34"/>
    </row>
    <row r="10" spans="1:41" s="30" customFormat="1">
      <c r="A10" s="29">
        <v>46071</v>
      </c>
      <c r="B10" s="44" t="s">
        <v>69</v>
      </c>
      <c r="H10" s="30">
        <v>4</v>
      </c>
      <c r="K10" s="46"/>
      <c r="L10" s="46"/>
      <c r="Q10" s="34"/>
    </row>
    <row r="11" spans="1:41" s="30" customFormat="1">
      <c r="A11" s="29">
        <v>46075</v>
      </c>
      <c r="B11" s="30">
        <v>41</v>
      </c>
      <c r="C11" s="30">
        <v>13</v>
      </c>
      <c r="D11" s="30">
        <v>54</v>
      </c>
      <c r="E11" s="30">
        <v>109</v>
      </c>
      <c r="F11" s="30">
        <v>13</v>
      </c>
      <c r="G11" s="30">
        <v>122</v>
      </c>
      <c r="H11" s="30">
        <v>2</v>
      </c>
      <c r="I11" s="30">
        <v>103</v>
      </c>
      <c r="J11" s="30">
        <v>11</v>
      </c>
      <c r="K11" s="46">
        <v>124</v>
      </c>
      <c r="L11" s="46">
        <v>124</v>
      </c>
      <c r="M11" s="30">
        <v>8</v>
      </c>
      <c r="Q11" s="34">
        <f t="shared" si="7"/>
        <v>238</v>
      </c>
      <c r="X11" s="30">
        <v>16</v>
      </c>
    </row>
    <row r="12" spans="1:41" s="30" customFormat="1">
      <c r="A12" s="29">
        <v>46082</v>
      </c>
      <c r="C12" s="30">
        <v>14</v>
      </c>
      <c r="E12" s="30">
        <v>99</v>
      </c>
      <c r="F12" s="30">
        <v>13</v>
      </c>
      <c r="G12" s="30">
        <v>114</v>
      </c>
      <c r="H12" s="30">
        <v>2</v>
      </c>
      <c r="I12" s="30">
        <v>82</v>
      </c>
      <c r="J12" s="30">
        <v>7</v>
      </c>
      <c r="K12" s="46">
        <v>116</v>
      </c>
      <c r="L12" s="46">
        <v>89</v>
      </c>
      <c r="Q12" s="34">
        <f t="shared" si="7"/>
        <v>205</v>
      </c>
      <c r="X12" s="30">
        <v>22</v>
      </c>
    </row>
    <row r="13" spans="1:41" s="30" customFormat="1">
      <c r="A13" s="29">
        <v>46089</v>
      </c>
      <c r="C13" s="30">
        <v>15</v>
      </c>
      <c r="E13" s="30">
        <v>76</v>
      </c>
      <c r="F13" s="30">
        <v>12</v>
      </c>
      <c r="G13" s="30">
        <v>88</v>
      </c>
      <c r="H13" s="30">
        <v>1</v>
      </c>
      <c r="I13" s="30">
        <v>99</v>
      </c>
      <c r="J13" s="30">
        <v>5</v>
      </c>
      <c r="K13" s="46">
        <v>89</v>
      </c>
      <c r="L13" s="46">
        <v>104</v>
      </c>
      <c r="M13" s="30">
        <v>5</v>
      </c>
      <c r="Q13" s="34">
        <f t="shared" si="7"/>
        <v>193</v>
      </c>
      <c r="X13" s="30">
        <v>30</v>
      </c>
    </row>
    <row r="14" spans="1:41" s="30" customFormat="1">
      <c r="A14" s="29">
        <v>46096</v>
      </c>
      <c r="C14" s="30">
        <v>9</v>
      </c>
      <c r="E14" s="30">
        <v>97</v>
      </c>
      <c r="F14" s="30">
        <v>11</v>
      </c>
      <c r="G14" s="30">
        <v>108</v>
      </c>
      <c r="H14" s="30">
        <v>3</v>
      </c>
      <c r="I14" s="30">
        <v>110</v>
      </c>
      <c r="J14" s="30">
        <v>7</v>
      </c>
      <c r="K14" s="46">
        <v>111</v>
      </c>
      <c r="L14" s="46">
        <v>118</v>
      </c>
      <c r="M14" s="30">
        <v>3</v>
      </c>
      <c r="Q14" s="34">
        <f t="shared" si="7"/>
        <v>228</v>
      </c>
      <c r="X14" s="30">
        <v>19</v>
      </c>
    </row>
    <row r="15" spans="1:41" s="30" customFormat="1">
      <c r="A15" s="29">
        <v>46103</v>
      </c>
      <c r="E15" s="30">
        <v>116</v>
      </c>
      <c r="F15" s="30">
        <v>14</v>
      </c>
      <c r="G15" s="30">
        <v>130</v>
      </c>
      <c r="I15" s="30">
        <v>96</v>
      </c>
      <c r="K15" s="46"/>
      <c r="L15" s="46"/>
      <c r="Q15" s="34">
        <f t="shared" si="7"/>
        <v>226</v>
      </c>
    </row>
    <row r="16" spans="1:41" s="30" customFormat="1">
      <c r="A16" s="29">
        <v>46110</v>
      </c>
      <c r="B16" s="47" t="s">
        <v>70</v>
      </c>
      <c r="H16" s="30">
        <v>11</v>
      </c>
      <c r="K16" s="46"/>
      <c r="L16" s="46"/>
      <c r="N16" s="30">
        <v>271</v>
      </c>
      <c r="Q16" s="34"/>
    </row>
    <row r="17" spans="1:24" s="30" customFormat="1">
      <c r="A17" s="29">
        <v>46114</v>
      </c>
      <c r="B17" s="47" t="s">
        <v>71</v>
      </c>
      <c r="H17" s="30">
        <v>3</v>
      </c>
      <c r="K17" s="46"/>
      <c r="L17" s="46"/>
      <c r="Q17" s="34"/>
    </row>
    <row r="18" spans="1:24" s="30" customFormat="1">
      <c r="A18" s="29">
        <v>46115</v>
      </c>
      <c r="B18" s="47" t="s">
        <v>72</v>
      </c>
      <c r="H18" s="30">
        <v>5</v>
      </c>
      <c r="K18" s="46"/>
      <c r="L18" s="46"/>
      <c r="Q18" s="34"/>
    </row>
    <row r="19" spans="1:24" s="30" customFormat="1">
      <c r="A19" s="29">
        <v>13245</v>
      </c>
      <c r="B19" s="47" t="s">
        <v>73</v>
      </c>
      <c r="K19" s="46"/>
      <c r="L19" s="46"/>
      <c r="Q19" s="34"/>
    </row>
    <row r="20" spans="1:24" s="30" customFormat="1">
      <c r="A20" s="29">
        <v>46117</v>
      </c>
      <c r="B20" s="47" t="s">
        <v>74</v>
      </c>
      <c r="E20" s="30">
        <v>212</v>
      </c>
      <c r="F20" s="30">
        <v>19</v>
      </c>
      <c r="G20" s="30">
        <v>232</v>
      </c>
      <c r="H20" s="30">
        <v>3</v>
      </c>
      <c r="I20" s="30">
        <v>174</v>
      </c>
      <c r="J20" s="30">
        <v>3</v>
      </c>
      <c r="K20" s="46">
        <v>235</v>
      </c>
      <c r="L20" s="46">
        <v>177</v>
      </c>
      <c r="M20" s="30" t="s">
        <v>66</v>
      </c>
      <c r="Q20" s="34">
        <f t="shared" si="7"/>
        <v>412</v>
      </c>
    </row>
    <row r="21" spans="1:24" s="30" customFormat="1">
      <c r="A21" s="29">
        <v>46124</v>
      </c>
      <c r="B21" s="30">
        <v>26</v>
      </c>
      <c r="E21" s="30">
        <v>66</v>
      </c>
      <c r="F21" s="30">
        <v>12</v>
      </c>
      <c r="G21" s="30">
        <v>78</v>
      </c>
      <c r="I21" s="30">
        <v>70</v>
      </c>
      <c r="K21" s="46"/>
      <c r="L21" s="46"/>
      <c r="Q21" s="34">
        <f t="shared" si="7"/>
        <v>148</v>
      </c>
    </row>
    <row r="22" spans="1:24" s="30" customFormat="1">
      <c r="A22" s="29">
        <v>46131</v>
      </c>
      <c r="B22" s="30">
        <v>20</v>
      </c>
      <c r="C22" s="30">
        <v>17</v>
      </c>
      <c r="D22" s="30">
        <v>37</v>
      </c>
      <c r="E22" s="30">
        <v>97</v>
      </c>
      <c r="F22" s="30">
        <v>12</v>
      </c>
      <c r="G22" s="30">
        <v>109</v>
      </c>
      <c r="H22" s="30">
        <v>2</v>
      </c>
      <c r="I22" s="30">
        <v>93</v>
      </c>
      <c r="J22" s="30">
        <v>8</v>
      </c>
      <c r="K22" s="46">
        <v>111</v>
      </c>
      <c r="L22" s="46">
        <v>101</v>
      </c>
      <c r="M22" s="30">
        <v>10</v>
      </c>
      <c r="Q22" s="34">
        <f t="shared" si="7"/>
        <v>212</v>
      </c>
      <c r="X22" s="30">
        <v>28</v>
      </c>
    </row>
    <row r="23" spans="1:24" s="30" customFormat="1">
      <c r="A23" s="29">
        <v>46138</v>
      </c>
      <c r="B23" s="44" t="s">
        <v>75</v>
      </c>
      <c r="K23" s="46"/>
      <c r="L23" s="46"/>
      <c r="M23" s="30">
        <v>50</v>
      </c>
      <c r="N23" s="30">
        <v>222</v>
      </c>
      <c r="Q23" s="30">
        <v>222</v>
      </c>
      <c r="X23" s="30">
        <v>18</v>
      </c>
    </row>
    <row r="24" spans="1:24" s="30" customFormat="1">
      <c r="A24" s="29">
        <v>46145</v>
      </c>
      <c r="B24" s="47" t="s">
        <v>76</v>
      </c>
      <c r="C24" s="30">
        <v>11</v>
      </c>
      <c r="E24" s="30">
        <v>107</v>
      </c>
      <c r="F24" s="30">
        <v>13</v>
      </c>
      <c r="G24" s="30">
        <v>120</v>
      </c>
      <c r="H24" s="30">
        <v>1</v>
      </c>
      <c r="I24" s="30">
        <v>93</v>
      </c>
      <c r="J24" s="30">
        <v>5</v>
      </c>
      <c r="K24" s="46">
        <v>121</v>
      </c>
      <c r="L24" s="46">
        <v>98</v>
      </c>
      <c r="Q24" s="34">
        <f t="shared" si="7"/>
        <v>219</v>
      </c>
      <c r="X24" s="30">
        <v>24</v>
      </c>
    </row>
    <row r="25" spans="1:24" s="30" customFormat="1">
      <c r="A25" s="29">
        <v>46152</v>
      </c>
      <c r="C25" s="30">
        <v>12</v>
      </c>
      <c r="E25" s="30">
        <v>149</v>
      </c>
      <c r="F25" s="30">
        <v>14</v>
      </c>
      <c r="G25" s="30">
        <v>163</v>
      </c>
      <c r="H25" s="30">
        <v>6</v>
      </c>
      <c r="I25" s="30">
        <v>124</v>
      </c>
      <c r="J25" s="30">
        <v>1</v>
      </c>
      <c r="K25" s="46">
        <v>169</v>
      </c>
      <c r="L25" s="46">
        <v>125</v>
      </c>
      <c r="M25" s="30">
        <v>12</v>
      </c>
      <c r="Q25" s="34">
        <f t="shared" si="7"/>
        <v>294</v>
      </c>
    </row>
    <row r="26" spans="1:24" s="30" customFormat="1">
      <c r="A26" s="29">
        <v>46159</v>
      </c>
      <c r="B26" s="30">
        <v>20</v>
      </c>
      <c r="E26" s="30">
        <v>99</v>
      </c>
      <c r="F26" s="30">
        <v>10</v>
      </c>
      <c r="G26" s="30">
        <v>109</v>
      </c>
      <c r="H26" s="30">
        <v>6</v>
      </c>
      <c r="I26" s="30" t="s">
        <v>77</v>
      </c>
      <c r="J26" s="30">
        <v>3</v>
      </c>
      <c r="K26" s="46">
        <v>115</v>
      </c>
      <c r="L26" s="46"/>
      <c r="M26" s="30">
        <v>8</v>
      </c>
      <c r="Q26" s="34"/>
    </row>
    <row r="27" spans="1:24" s="30" customFormat="1">
      <c r="A27" s="29">
        <v>46166</v>
      </c>
      <c r="B27" s="44" t="s">
        <v>78</v>
      </c>
      <c r="H27" s="30">
        <v>7</v>
      </c>
      <c r="K27" s="46"/>
      <c r="L27" s="46"/>
      <c r="N27" s="30">
        <v>137</v>
      </c>
      <c r="Q27" s="34"/>
    </row>
    <row r="28" spans="1:24" s="30" customFormat="1">
      <c r="A28" s="29">
        <v>46173</v>
      </c>
      <c r="K28" s="46"/>
      <c r="L28" s="46"/>
      <c r="Q28" s="34"/>
    </row>
    <row r="29" spans="1:24" s="30" customFormat="1">
      <c r="A29" s="29">
        <v>46180</v>
      </c>
      <c r="K29" s="46"/>
      <c r="L29" s="46"/>
      <c r="Q29" s="34"/>
    </row>
    <row r="30" spans="1:24" s="30" customFormat="1">
      <c r="A30" s="29">
        <v>46187</v>
      </c>
      <c r="K30" s="46"/>
      <c r="L30" s="46"/>
      <c r="Q30" s="34"/>
    </row>
    <row r="31" spans="1:24" s="30" customFormat="1">
      <c r="A31" s="29">
        <v>46194</v>
      </c>
      <c r="K31" s="46"/>
      <c r="L31" s="46"/>
      <c r="Q31" s="34"/>
    </row>
    <row r="32" spans="1:24" s="30" customFormat="1">
      <c r="A32" s="29">
        <v>46201</v>
      </c>
      <c r="K32" s="46"/>
      <c r="L32" s="46"/>
      <c r="Q32" s="34"/>
    </row>
    <row r="33" spans="1:17" s="30" customFormat="1">
      <c r="A33" s="48">
        <v>46208</v>
      </c>
      <c r="B33" s="47" t="s">
        <v>79</v>
      </c>
      <c r="K33" s="46"/>
      <c r="L33" s="46"/>
      <c r="Q33" s="34"/>
    </row>
    <row r="60" spans="1:25">
      <c r="A60" t="s">
        <v>80</v>
      </c>
      <c r="C60">
        <f>AVERAGE(C2:C56)</f>
        <v>13.083333333333334</v>
      </c>
      <c r="D60">
        <f>AVERAGE(D2:D56)</f>
        <v>50.714285714285715</v>
      </c>
      <c r="E60">
        <f>AVERAGE(E2:E56)</f>
        <v>108.625</v>
      </c>
      <c r="F60">
        <f>AVERAGE(F2:F56)</f>
        <v>13.117647058823529</v>
      </c>
      <c r="G60">
        <f>AVERAGE(G2:G56)</f>
        <v>121.3125</v>
      </c>
      <c r="H60">
        <f>AVERAGE(H2:H56)</f>
        <v>4</v>
      </c>
      <c r="I60">
        <f>AVERAGE(I2:I56)</f>
        <v>100.73333333333333</v>
      </c>
      <c r="J60">
        <f>AVERAGE(J2:J56)</f>
        <v>4.9285714285714288</v>
      </c>
      <c r="K60">
        <f>AVERAGE(K2:K56)</f>
        <v>127.07142857142857</v>
      </c>
      <c r="L60">
        <f>AVERAGE(L2:L56)</f>
        <v>109.53846153846153</v>
      </c>
      <c r="M60">
        <f>AVERAGE(M2:M56)</f>
        <v>12.454545454545455</v>
      </c>
      <c r="N60">
        <f>AVERAGE(N2:N56)</f>
        <v>184.5</v>
      </c>
      <c r="O60" t="e">
        <f>AVERAGE(O2:O56)</f>
        <v>#DIV/0!</v>
      </c>
      <c r="P60" t="e">
        <f>AVERAGE(P2:P56)</f>
        <v>#DIV/0!</v>
      </c>
      <c r="Q60">
        <f>AVERAGE(Q3:Q25)</f>
        <v>229.4375</v>
      </c>
      <c r="R60">
        <f>AVERAGE(R2:R56)</f>
        <v>0</v>
      </c>
      <c r="S60">
        <f>AVERAGE(S2:S56)</f>
        <v>125</v>
      </c>
      <c r="T60" t="e">
        <f>AVERAGE(T2:T56)</f>
        <v>#DIV/0!</v>
      </c>
      <c r="U60" t="e">
        <f>AVERAGE(U2:U56)</f>
        <v>#DIV/0!</v>
      </c>
      <c r="W60" t="e">
        <f>AVERAGE(W2:W56)</f>
        <v>#DIV/0!</v>
      </c>
      <c r="X60">
        <f>AVERAGE(X2:X56)</f>
        <v>21.9</v>
      </c>
      <c r="Y60">
        <f>AVERAGE(Y2:Y56)</f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Webb</dc:creator>
  <cp:keywords/>
  <dc:description/>
  <cp:lastModifiedBy>Margie Walters</cp:lastModifiedBy>
  <cp:revision/>
  <dcterms:created xsi:type="dcterms:W3CDTF">2019-01-02T15:22:22Z</dcterms:created>
  <dcterms:modified xsi:type="dcterms:W3CDTF">2026-05-27T14:50:32Z</dcterms:modified>
  <cp:category/>
  <cp:contentStatus/>
</cp:coreProperties>
</file>